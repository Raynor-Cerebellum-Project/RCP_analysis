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24226"/>
  <mc:AlternateContent xmlns:mc="http://schemas.openxmlformats.org/markup-compatibility/2006">
    <mc:Choice Requires="x15">
      <x15ac:absPath xmlns:x15ac="http://schemas.microsoft.com/office/spreadsheetml/2010/11/ac" url="Z:\Current Project Databases - NHP\2025 Cerebellum prosthesis\Blackrock MAP files Utah arrays\024040\"/>
    </mc:Choice>
  </mc:AlternateContent>
  <xr:revisionPtr revIDLastSave="0" documentId="13_ncr:1_{CF5B3CFF-D6D9-42A0-977F-5D640E50A054}" xr6:coauthVersionLast="47" xr6:coauthVersionMax="47" xr10:uidLastSave="{00000000-0000-0000-0000-000000000000}"/>
  <bookViews>
    <workbookView xWindow="2415" yWindow="-13620" windowWidth="24240" windowHeight="13140" firstSheet="2" activeTab="3" xr2:uid="{00000000-000D-0000-FFFF-FFFF00000000}"/>
  </bookViews>
  <sheets>
    <sheet name="Impedance Values from Automated" sheetId="1" r:id="rId1"/>
    <sheet name="Array Map with Automated Tester" sheetId="2" r:id="rId2"/>
    <sheet name="Cerebus Mapping" sheetId="3" r:id="rId3"/>
    <sheet name="Blackrock to Array Contacts" sheetId="4" r:id="rId4"/>
    <sheet name="Blackrock to System Channels" sheetId="5" r:id="rId5"/>
  </sheets>
  <functionGroups builtInGroupCount="19"/>
  <definedNames>
    <definedName name="arraycols">'Array Map with Automated Tester'!$BC$13:$BC$27</definedName>
    <definedName name="arraylabel">'Array Map with Automated Tester'!$AL$13:$AL$54</definedName>
    <definedName name="arrayrows">'Array Map with Automated Tester'!$BB$13:$BB$54</definedName>
    <definedName name="arrayspace">'Array Map with Automated Tester'!$AM$13:$BA$54</definedName>
    <definedName name="Z_4FF8E199_9DCD_4A1D_B440_7626F2F9D72A_.wvu.Cols" localSheetId="1" hidden="1">'Array Map with Automated Tester'!$AP:$AP,'Array Map with Automated Tester'!$BG:$BK</definedName>
    <definedName name="Z_CEE82286_2DC3_4150_9989_30CF9F331A30_.wvu.Cols" localSheetId="1" hidden="1">'Array Map with Automated Tester'!$AP:$AP,'Array Map with Automated Tester'!$BG:$BK</definedName>
  </definedNames>
  <calcPr calcId="191029"/>
  <customWorkbookViews>
    <customWorkbookView name="Hyrum L. Sessions - Personal View" guid="{CEE82286-2DC3-4150-9989-30CF9F331A30}" mergeInterval="0" personalView="1" maximized="1" windowWidth="1050" windowHeight="1358" activeSheetId="2" showComments="commIndAndComment"/>
    <customWorkbookView name="Jerilyn Hoffman - Personal View" guid="{4FF8E199-9DCD-4A1D-B440-7626F2F9D72A}" mergeInterval="0" personalView="1" maximized="1" windowWidth="1463" windowHeight="563"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F20" i="2" l="1"/>
  <c r="BG46" i="2" s="1"/>
  <c r="AW64" i="2" s="1"/>
  <c r="J9" i="3" l="1"/>
  <c r="BC27" i="2"/>
  <c r="BC26" i="2"/>
  <c r="BC25" i="2"/>
  <c r="BC24" i="2"/>
  <c r="BC23" i="2"/>
  <c r="BC22" i="2"/>
  <c r="BC21" i="2"/>
  <c r="BC20" i="2"/>
  <c r="BC19" i="2"/>
  <c r="BC18" i="2"/>
  <c r="BC17" i="2"/>
  <c r="BC16" i="2"/>
  <c r="BC15" i="2"/>
  <c r="BC14" i="2"/>
  <c r="BC13" i="2"/>
  <c r="BB14" i="2"/>
  <c r="BB15" i="2"/>
  <c r="BB16" i="2"/>
  <c r="BB17" i="2"/>
  <c r="BB18" i="2"/>
  <c r="BB19" i="2"/>
  <c r="BB20" i="2"/>
  <c r="BB21" i="2"/>
  <c r="BB22" i="2"/>
  <c r="BB23" i="2"/>
  <c r="BB24" i="2"/>
  <c r="BB25" i="2"/>
  <c r="BB26" i="2"/>
  <c r="BB27" i="2"/>
  <c r="BB28" i="2"/>
  <c r="BB29" i="2"/>
  <c r="BB30" i="2"/>
  <c r="BB31" i="2"/>
  <c r="BB32" i="2"/>
  <c r="BB33" i="2"/>
  <c r="BB34" i="2"/>
  <c r="BB35" i="2"/>
  <c r="BB36" i="2"/>
  <c r="BB37" i="2"/>
  <c r="BB38" i="2"/>
  <c r="BB39" i="2"/>
  <c r="BB40" i="2"/>
  <c r="BB41" i="2"/>
  <c r="BB42" i="2"/>
  <c r="BB43" i="2"/>
  <c r="BB44" i="2"/>
  <c r="BB45" i="2"/>
  <c r="BB46" i="2"/>
  <c r="BB47" i="2"/>
  <c r="BB48" i="2"/>
  <c r="BB49" i="2"/>
  <c r="BB50" i="2"/>
  <c r="BB51" i="2"/>
  <c r="BB52" i="2"/>
  <c r="BB53" i="2"/>
  <c r="BB54" i="2"/>
  <c r="BB13" i="2"/>
  <c r="AL13" i="2"/>
  <c r="A13" i="3"/>
  <c r="AL14" i="2" l="1"/>
  <c r="AL15" i="2" s="1"/>
  <c r="AL16" i="2" s="1"/>
  <c r="AL17" i="2" s="1"/>
  <c r="AL18" i="2" s="1"/>
  <c r="AL19" i="2" s="1"/>
  <c r="AL20" i="2" s="1"/>
  <c r="AL21" i="2" s="1"/>
  <c r="AL22" i="2" s="1"/>
  <c r="AL23" i="2" s="1"/>
  <c r="AL24" i="2" s="1"/>
  <c r="AL25" i="2" s="1"/>
  <c r="AL26" i="2" s="1"/>
  <c r="AL27" i="2" s="1"/>
  <c r="AL28" i="2" s="1"/>
  <c r="AL29" i="2" s="1"/>
  <c r="AL30" i="2" s="1"/>
  <c r="AL31" i="2" s="1"/>
  <c r="AL32" i="2" s="1"/>
  <c r="AL33" i="2" s="1"/>
  <c r="AL34" i="2" s="1"/>
  <c r="AL35" i="2" s="1"/>
  <c r="AL36" i="2" s="1"/>
  <c r="AL37" i="2" s="1"/>
  <c r="AL38" i="2" s="1"/>
  <c r="AL39" i="2" s="1"/>
  <c r="AL40" i="2" s="1"/>
  <c r="AL41" i="2" s="1"/>
  <c r="AL42" i="2" s="1"/>
  <c r="AL43" i="2" s="1"/>
  <c r="AL44" i="2" s="1"/>
  <c r="AL45" i="2" s="1"/>
  <c r="AL46" i="2" s="1"/>
  <c r="AL47" i="2" s="1"/>
  <c r="AL48" i="2" s="1"/>
  <c r="AL49" i="2" s="1"/>
  <c r="AL50" i="2" s="1"/>
  <c r="AL51" i="2" s="1"/>
  <c r="AL52" i="2" s="1"/>
  <c r="AL53" i="2" s="1"/>
  <c r="AL54" i="2" s="1"/>
  <c r="J4" i="3"/>
  <c r="J3" i="3"/>
  <c r="D16" i="2" l="1"/>
  <c r="BE18" i="2" s="1"/>
  <c r="BL66" i="2" s="1"/>
  <c r="D17" i="2"/>
  <c r="BF19" i="2" s="1"/>
  <c r="BK66" i="2" s="1"/>
  <c r="D18" i="2"/>
  <c r="BH14" i="2" s="1"/>
  <c r="BJ66" i="2" s="1"/>
  <c r="D19" i="2"/>
  <c r="BI19" i="2" s="1"/>
  <c r="BI66" i="2" s="1"/>
  <c r="D20" i="2"/>
  <c r="BK18" i="2" s="1"/>
  <c r="BH66" i="2" s="1"/>
  <c r="D21" i="2"/>
  <c r="BE29" i="2" s="1"/>
  <c r="BG66" i="2" s="1"/>
  <c r="D22" i="2"/>
  <c r="BE19" i="2" s="1"/>
  <c r="BL67" i="2" s="1"/>
  <c r="D23" i="2"/>
  <c r="BF20" i="2" s="1"/>
  <c r="BK67" i="2" s="1"/>
  <c r="D24" i="2"/>
  <c r="BH15" i="2" s="1"/>
  <c r="BJ67" i="2" s="1"/>
  <c r="D25" i="2"/>
  <c r="BI20" i="2" s="1"/>
  <c r="BI67" i="2" s="1"/>
  <c r="D26" i="2"/>
  <c r="BK19" i="2" s="1"/>
  <c r="BH67" i="2" s="1"/>
  <c r="D27" i="2"/>
  <c r="BE30" i="2" s="1"/>
  <c r="BG67" i="2" s="1"/>
  <c r="D28" i="2"/>
  <c r="BE20" i="2" s="1"/>
  <c r="BL68" i="2" s="1"/>
  <c r="D29" i="2"/>
  <c r="BF21" i="2" s="1"/>
  <c r="BK68" i="2" s="1"/>
  <c r="D30" i="2"/>
  <c r="BH16" i="2" s="1"/>
  <c r="BJ68" i="2" s="1"/>
  <c r="D31" i="2"/>
  <c r="BI21" i="2" s="1"/>
  <c r="BI68" i="2" s="1"/>
  <c r="D32" i="2"/>
  <c r="BK20" i="2" s="1"/>
  <c r="BH68" i="2" s="1"/>
  <c r="D33" i="2"/>
  <c r="BE21" i="2" s="1"/>
  <c r="BL69" i="2" s="1"/>
  <c r="D34" i="2"/>
  <c r="BG14" i="2" s="1"/>
  <c r="BK69" i="2" s="1"/>
  <c r="D35" i="2"/>
  <c r="BH17" i="2" s="1"/>
  <c r="BJ69" i="2" s="1"/>
  <c r="D36" i="2"/>
  <c r="BJ14" i="2" s="1"/>
  <c r="BI69" i="2" s="1"/>
  <c r="D37" i="2"/>
  <c r="BK21" i="2" s="1"/>
  <c r="BH69" i="2" s="1"/>
  <c r="D38" i="2"/>
  <c r="BG15" i="2" s="1"/>
  <c r="BK70" i="2" s="1"/>
  <c r="D39" i="2"/>
  <c r="BH18" i="2" s="1"/>
  <c r="BJ70" i="2" s="1"/>
  <c r="D40" i="2"/>
  <c r="BJ15" i="2" s="1"/>
  <c r="BI70" i="2" s="1"/>
  <c r="D41" i="2"/>
  <c r="BL14" i="2" s="1"/>
  <c r="BH70" i="2" s="1"/>
  <c r="D42" i="2"/>
  <c r="BH19" i="2" s="1"/>
  <c r="BJ71" i="2" s="1"/>
  <c r="D43" i="2"/>
  <c r="BJ16" i="2" s="1"/>
  <c r="BI71" i="2" s="1"/>
  <c r="D44" i="2"/>
  <c r="BL15" i="2" s="1"/>
  <c r="BH71" i="2" s="1"/>
  <c r="D45" i="2"/>
  <c r="BJ17" i="2" s="1"/>
  <c r="BI72" i="2" s="1"/>
  <c r="D46" i="2"/>
  <c r="BL16" i="2" s="1"/>
  <c r="BH72" i="2" s="1"/>
  <c r="D47" i="2"/>
  <c r="BL17" i="2" s="1"/>
  <c r="BH73" i="2" s="1"/>
  <c r="AF17" i="2" l="1"/>
  <c r="BI46" i="2" s="1"/>
  <c r="AV65" i="2" s="1"/>
  <c r="AF18" i="2"/>
  <c r="BJ51" i="2" s="1"/>
  <c r="AU65" i="2" s="1"/>
  <c r="AF19" i="2"/>
  <c r="BL46" i="2" s="1"/>
  <c r="AT65" i="2" s="1"/>
  <c r="AF21" i="2"/>
  <c r="BI45" i="2" s="1"/>
  <c r="AV64" i="2" s="1"/>
  <c r="AF22" i="2"/>
  <c r="BJ50" i="2" s="1"/>
  <c r="AU64" i="2" s="1"/>
  <c r="AF23" i="2"/>
  <c r="BL45" i="2" s="1"/>
  <c r="AT64" i="2" s="1"/>
  <c r="AF24" i="2"/>
  <c r="BG45" i="2" s="1"/>
  <c r="AW63" i="2" s="1"/>
  <c r="AF25" i="2"/>
  <c r="BI44" i="2" s="1"/>
  <c r="AV63" i="2" s="1"/>
  <c r="AF26" i="2"/>
  <c r="BJ49" i="2" s="1"/>
  <c r="AU63" i="2" s="1"/>
  <c r="AF27" i="2"/>
  <c r="BL44" i="2" s="1"/>
  <c r="AT63" i="2" s="1"/>
  <c r="AF28" i="2"/>
  <c r="BL41" i="2" s="1"/>
  <c r="AX62" i="2" s="1"/>
  <c r="AF29" i="2"/>
  <c r="BG44" i="2" s="1"/>
  <c r="AW62" i="2" s="1"/>
  <c r="AF30" i="2"/>
  <c r="BH51" i="2" s="1"/>
  <c r="AV62" i="2" s="1"/>
  <c r="AF31" i="2"/>
  <c r="BJ48" i="2" s="1"/>
  <c r="AU62" i="2" s="1"/>
  <c r="AF32" i="2"/>
  <c r="BK51" i="2" s="1"/>
  <c r="AT62" i="2" s="1"/>
  <c r="AF33" i="2"/>
  <c r="BL40" i="2" s="1"/>
  <c r="AX61" i="2" s="1"/>
  <c r="AF34" i="2"/>
  <c r="BF51" i="2" s="1"/>
  <c r="AW61" i="2" s="1"/>
  <c r="AF35" i="2"/>
  <c r="BH50" i="2" s="1"/>
  <c r="AV61" i="2" s="1"/>
  <c r="AF36" i="2"/>
  <c r="BJ47" i="2" s="1"/>
  <c r="AU61" i="2" s="1"/>
  <c r="AF37" i="2"/>
  <c r="BK50" i="2" s="1"/>
  <c r="AT61" i="2" s="1"/>
  <c r="AF38" i="2"/>
  <c r="BL39" i="2" s="1"/>
  <c r="AX60" i="2" s="1"/>
  <c r="AF39" i="2"/>
  <c r="BF50" i="2" s="1"/>
  <c r="AW60" i="2" s="1"/>
  <c r="AF40" i="2"/>
  <c r="BH49" i="2" s="1"/>
  <c r="AV60" i="2" s="1"/>
  <c r="AF41" i="2"/>
  <c r="BJ46" i="2" s="1"/>
  <c r="AU60" i="2" s="1"/>
  <c r="AF42" i="2"/>
  <c r="BL38" i="2" s="1"/>
  <c r="AX59" i="2" s="1"/>
  <c r="AF43" i="2"/>
  <c r="BF49" i="2" s="1"/>
  <c r="AW59" i="2" s="1"/>
  <c r="AF44" i="2"/>
  <c r="BH48" i="2" s="1"/>
  <c r="AV59" i="2" s="1"/>
  <c r="AF45" i="2"/>
  <c r="BL37" i="2" s="1"/>
  <c r="AX58" i="2" s="1"/>
  <c r="AF46" i="2"/>
  <c r="BF48" i="2" s="1"/>
  <c r="AW58" i="2" s="1"/>
  <c r="AF47" i="2"/>
  <c r="BL36" i="2" s="1"/>
  <c r="AX57" i="2" s="1"/>
  <c r="AF16" i="2"/>
  <c r="BG47" i="2" s="1"/>
  <c r="AW65" i="2" s="1"/>
  <c r="AB17" i="2"/>
  <c r="BH40" i="2" s="1"/>
  <c r="AZ65" i="2" s="1"/>
  <c r="AB18" i="2"/>
  <c r="BK34" i="2" s="1"/>
  <c r="AY65" i="2" s="1"/>
  <c r="AB19" i="2"/>
  <c r="BE46" i="2" s="1"/>
  <c r="AX65" i="2" s="1"/>
  <c r="AB20" i="2"/>
  <c r="BF37" i="2" s="1"/>
  <c r="BA64" i="2" s="1"/>
  <c r="AB21" i="2"/>
  <c r="BH39" i="2" s="1"/>
  <c r="AZ64" i="2" s="1"/>
  <c r="AB22" i="2"/>
  <c r="BJ41" i="2" s="1"/>
  <c r="AY64" i="2" s="1"/>
  <c r="AB23" i="2"/>
  <c r="BE45" i="2" s="1"/>
  <c r="AX64" i="2" s="1"/>
  <c r="AB24" i="2"/>
  <c r="BF36" i="2" s="1"/>
  <c r="BA63" i="2" s="1"/>
  <c r="AB25" i="2"/>
  <c r="BH38" i="2" s="1"/>
  <c r="AZ63" i="2" s="1"/>
  <c r="AB26" i="2"/>
  <c r="BJ40" i="2" s="1"/>
  <c r="AY63" i="2" s="1"/>
  <c r="AB27" i="2"/>
  <c r="BE44" i="2" s="1"/>
  <c r="AX63" i="2" s="1"/>
  <c r="AB28" i="2"/>
  <c r="BF35" i="2" s="1"/>
  <c r="BA62" i="2" s="1"/>
  <c r="AB29" i="2"/>
  <c r="BH37" i="2" s="1"/>
  <c r="AZ62" i="2" s="1"/>
  <c r="AB30" i="2"/>
  <c r="BJ39" i="2" s="1"/>
  <c r="AY62" i="2" s="1"/>
  <c r="AB31" i="2"/>
  <c r="BF34" i="2" s="1"/>
  <c r="BA61" i="2" s="1"/>
  <c r="AB32" i="2"/>
  <c r="BH36" i="2" s="1"/>
  <c r="AZ61" i="2" s="1"/>
  <c r="AB33" i="2"/>
  <c r="BJ38" i="2" s="1"/>
  <c r="AY61" i="2" s="1"/>
  <c r="AB34" i="2"/>
  <c r="BE41" i="2" s="1"/>
  <c r="BA60" i="2" s="1"/>
  <c r="AB35" i="2"/>
  <c r="BH35" i="2" s="1"/>
  <c r="AZ60" i="2" s="1"/>
  <c r="AB36" i="2"/>
  <c r="BJ37" i="2" s="1"/>
  <c r="AY60" i="2" s="1"/>
  <c r="AB37" i="2"/>
  <c r="BE40" i="2" s="1"/>
  <c r="BA59" i="2" s="1"/>
  <c r="AB38" i="2"/>
  <c r="BH34" i="2" s="1"/>
  <c r="AZ59" i="2" s="1"/>
  <c r="AB39" i="2"/>
  <c r="BJ36" i="2" s="1"/>
  <c r="AY59" i="2" s="1"/>
  <c r="AB40" i="2"/>
  <c r="BK27" i="2" s="1"/>
  <c r="BD58" i="2" s="1"/>
  <c r="AB41" i="2"/>
  <c r="BE39" i="2" s="1"/>
  <c r="BA58" i="2" s="1"/>
  <c r="AB42" i="2"/>
  <c r="BG41" i="2" s="1"/>
  <c r="AZ58" i="2" s="1"/>
  <c r="AB43" i="2"/>
  <c r="BJ35" i="2" s="1"/>
  <c r="AY58" i="2" s="1"/>
  <c r="AB44" i="2"/>
  <c r="BK26" i="2" s="1"/>
  <c r="BD57" i="2" s="1"/>
  <c r="AB45" i="2"/>
  <c r="BE38" i="2" s="1"/>
  <c r="BA57" i="2" s="1"/>
  <c r="AB46" i="2"/>
  <c r="BG40" i="2" s="1"/>
  <c r="AZ57" i="2" s="1"/>
  <c r="AB47" i="2"/>
  <c r="BJ34" i="2" s="1"/>
  <c r="AY57" i="2" s="1"/>
  <c r="AB16" i="2"/>
  <c r="BF38" i="2" s="1"/>
  <c r="BA65" i="2" s="1"/>
  <c r="X17" i="2"/>
  <c r="BJ24" i="2" s="1"/>
  <c r="BE65" i="2" s="1"/>
  <c r="X18" i="2"/>
  <c r="BG30" i="2" s="1"/>
  <c r="BF65" i="2" s="1"/>
  <c r="X19" i="2"/>
  <c r="BL25" i="2" s="1"/>
  <c r="BD64" i="2" s="1"/>
  <c r="X20" i="2"/>
  <c r="BI31" i="2" s="1"/>
  <c r="BE64" i="2" s="1"/>
  <c r="X21" i="2"/>
  <c r="BG29" i="2" s="1"/>
  <c r="BF64" i="2" s="1"/>
  <c r="X22" i="2"/>
  <c r="BL24" i="2" s="1"/>
  <c r="BD63" i="2" s="1"/>
  <c r="X23" i="2"/>
  <c r="BI30" i="2" s="1"/>
  <c r="BE63" i="2" s="1"/>
  <c r="X24" i="2"/>
  <c r="BG28" i="2" s="1"/>
  <c r="BF63" i="2" s="1"/>
  <c r="X25" i="2"/>
  <c r="BE26" i="2" s="1"/>
  <c r="BG63" i="2" s="1"/>
  <c r="X26" i="2"/>
  <c r="BK31" i="2" s="1"/>
  <c r="BD62" i="2" s="1"/>
  <c r="X27" i="2"/>
  <c r="BI29" i="2" s="1"/>
  <c r="BE62" i="2" s="1"/>
  <c r="X28" i="2"/>
  <c r="BG27" i="2" s="1"/>
  <c r="BF62" i="2" s="1"/>
  <c r="X29" i="2"/>
  <c r="BE25" i="2" s="1"/>
  <c r="BG62" i="2" s="1"/>
  <c r="X30" i="2"/>
  <c r="BK30" i="2" s="1"/>
  <c r="BD61" i="2" s="1"/>
  <c r="X31" i="2"/>
  <c r="BI28" i="2" s="1"/>
  <c r="BE61" i="2" s="1"/>
  <c r="X32" i="2"/>
  <c r="BG26" i="2" s="1"/>
  <c r="BF61" i="2" s="1"/>
  <c r="X33" i="2"/>
  <c r="BE24" i="2" s="1"/>
  <c r="BG61" i="2" s="1"/>
  <c r="X34" i="2"/>
  <c r="BK29" i="2" s="1"/>
  <c r="BD60" i="2" s="1"/>
  <c r="X35" i="2"/>
  <c r="BI27" i="2" s="1"/>
  <c r="BE60" i="2" s="1"/>
  <c r="X36" i="2"/>
  <c r="BG25" i="2" s="1"/>
  <c r="BF60" i="2" s="1"/>
  <c r="X37" i="2"/>
  <c r="BL21" i="2" s="1"/>
  <c r="BG60" i="2" s="1"/>
  <c r="X38" i="2"/>
  <c r="BK28" i="2" s="1"/>
  <c r="BD59" i="2" s="1"/>
  <c r="X39" i="2"/>
  <c r="BI26" i="2" s="1"/>
  <c r="BE59" i="2" s="1"/>
  <c r="X40" i="2"/>
  <c r="BG24" i="2" s="1"/>
  <c r="BF59" i="2" s="1"/>
  <c r="X41" i="2"/>
  <c r="BL20" i="2" s="1"/>
  <c r="BG59" i="2" s="1"/>
  <c r="X42" i="2"/>
  <c r="BI25" i="2" s="1"/>
  <c r="BE58" i="2" s="1"/>
  <c r="X43" i="2"/>
  <c r="BF31" i="2" s="1"/>
  <c r="BF58" i="2" s="1"/>
  <c r="X44" i="2"/>
  <c r="BL19" i="2" s="1"/>
  <c r="BG58" i="2" s="1"/>
  <c r="X45" i="2"/>
  <c r="BI24" i="2" s="1"/>
  <c r="BE57" i="2" s="1"/>
  <c r="X46" i="2"/>
  <c r="BF30" i="2" s="1"/>
  <c r="BF57" i="2" s="1"/>
  <c r="X47" i="2"/>
  <c r="BL18" i="2" s="1"/>
  <c r="BG57" i="2" s="1"/>
  <c r="X16" i="2"/>
  <c r="BL26" i="2" s="1"/>
  <c r="BD65" i="2" s="1"/>
  <c r="T17" i="2"/>
  <c r="BF18" i="2" s="1"/>
  <c r="BK65" i="2" s="1"/>
  <c r="T18" i="2"/>
  <c r="BG21" i="2" s="1"/>
  <c r="BJ65" i="2" s="1"/>
  <c r="T19" i="2"/>
  <c r="BI18" i="2" s="1"/>
  <c r="BI65" i="2" s="1"/>
  <c r="T20" i="2"/>
  <c r="BK17" i="2" s="1"/>
  <c r="BH65" i="2" s="1"/>
  <c r="T21" i="2"/>
  <c r="BE28" i="2" s="1"/>
  <c r="BG65" i="2" s="1"/>
  <c r="T22" i="2"/>
  <c r="BE16" i="2" s="1"/>
  <c r="BL64" i="2" s="1"/>
  <c r="T23" i="2"/>
  <c r="BF17" i="2" s="1"/>
  <c r="BK64" i="2" s="1"/>
  <c r="T24" i="2"/>
  <c r="BG20" i="2" s="1"/>
  <c r="BJ64" i="2" s="1"/>
  <c r="T25" i="2"/>
  <c r="BI17" i="2" s="1"/>
  <c r="BI64" i="2" s="1"/>
  <c r="T26" i="2"/>
  <c r="BK16" i="2" s="1"/>
  <c r="BH64" i="2" s="1"/>
  <c r="T27" i="2"/>
  <c r="BE27" i="2" s="1"/>
  <c r="BG64" i="2" s="1"/>
  <c r="T28" i="2"/>
  <c r="BE15" i="2" s="1"/>
  <c r="BL63" i="2" s="1"/>
  <c r="T29" i="2"/>
  <c r="BF16" i="2" s="1"/>
  <c r="BK63" i="2" s="1"/>
  <c r="T30" i="2"/>
  <c r="BG19" i="2" s="1"/>
  <c r="BJ63" i="2" s="1"/>
  <c r="T31" i="2"/>
  <c r="BI16" i="2" s="1"/>
  <c r="BI63" i="2" s="1"/>
  <c r="T32" i="2"/>
  <c r="BK15" i="2" s="1"/>
  <c r="BH63" i="2" s="1"/>
  <c r="T33" i="2"/>
  <c r="BE14" i="2" s="1"/>
  <c r="BL62" i="2" s="1"/>
  <c r="T34" i="2"/>
  <c r="BF15" i="2" s="1"/>
  <c r="BK62" i="2" s="1"/>
  <c r="T35" i="2"/>
  <c r="BG18" i="2" s="1"/>
  <c r="BJ62" i="2" s="1"/>
  <c r="T36" i="2"/>
  <c r="BI15" i="2" s="1"/>
  <c r="BI62" i="2" s="1"/>
  <c r="T37" i="2"/>
  <c r="BK14" i="2" s="1"/>
  <c r="BH62" i="2" s="1"/>
  <c r="T38" i="2"/>
  <c r="BF14" i="2" s="1"/>
  <c r="BK61" i="2" s="1"/>
  <c r="T39" i="2"/>
  <c r="BG17" i="2" s="1"/>
  <c r="BJ61" i="2" s="1"/>
  <c r="T40" i="2"/>
  <c r="BI14" i="2" s="1"/>
  <c r="BI61" i="2" s="1"/>
  <c r="T41" i="2"/>
  <c r="BJ21" i="2" s="1"/>
  <c r="BH61" i="2" s="1"/>
  <c r="T42" i="2"/>
  <c r="BG16" i="2" s="1"/>
  <c r="BJ60" i="2" s="1"/>
  <c r="T43" i="2"/>
  <c r="BH21" i="2" s="1"/>
  <c r="BI60" i="2" s="1"/>
  <c r="T44" i="2"/>
  <c r="BJ20" i="2" s="1"/>
  <c r="BH60" i="2" s="1"/>
  <c r="T45" i="2"/>
  <c r="BH20" i="2" s="1"/>
  <c r="BI59" i="2" s="1"/>
  <c r="T46" i="2"/>
  <c r="BJ19" i="2" s="1"/>
  <c r="BH59" i="2" s="1"/>
  <c r="T47" i="2"/>
  <c r="BJ18" i="2" s="1"/>
  <c r="BH58" i="2" s="1"/>
  <c r="T16" i="2"/>
  <c r="BE17" i="2" s="1"/>
  <c r="BL65" i="2" s="1"/>
  <c r="P17" i="2"/>
  <c r="BI47" i="2" s="1"/>
  <c r="AV66" i="2" s="1"/>
  <c r="P18" i="2"/>
  <c r="BK44" i="2" s="1"/>
  <c r="AU66" i="2" s="1"/>
  <c r="P19" i="2"/>
  <c r="BL47" i="2" s="1"/>
  <c r="AT66" i="2" s="1"/>
  <c r="P20" i="2"/>
  <c r="BG49" i="2" s="1"/>
  <c r="AW67" i="2" s="1"/>
  <c r="P21" i="2"/>
  <c r="BI48" i="2" s="1"/>
  <c r="AV67" i="2" s="1"/>
  <c r="P22" i="2"/>
  <c r="BK45" i="2" s="1"/>
  <c r="AU67" i="2" s="1"/>
  <c r="P23" i="2"/>
  <c r="BL48" i="2" s="1"/>
  <c r="AT67" i="2" s="1"/>
  <c r="P24" i="2"/>
  <c r="BG50" i="2" s="1"/>
  <c r="AW68" i="2" s="1"/>
  <c r="P25" i="2"/>
  <c r="BI49" i="2" s="1"/>
  <c r="AV68" i="2" s="1"/>
  <c r="P26" i="2"/>
  <c r="BK46" i="2" s="1"/>
  <c r="AU68" i="2" s="1"/>
  <c r="P27" i="2"/>
  <c r="BL49" i="2" s="1"/>
  <c r="AT68" i="2" s="1"/>
  <c r="P28" i="2"/>
  <c r="BE50" i="2" s="1"/>
  <c r="AX69" i="2" s="1"/>
  <c r="P29" i="2"/>
  <c r="BG51" i="2" s="1"/>
  <c r="AW69" i="2" s="1"/>
  <c r="P30" i="2"/>
  <c r="BI50" i="2" s="1"/>
  <c r="AV69" i="2" s="1"/>
  <c r="P31" i="2"/>
  <c r="BK47" i="2" s="1"/>
  <c r="AU69" i="2" s="1"/>
  <c r="P32" i="2"/>
  <c r="BL50" i="2" s="1"/>
  <c r="AT69" i="2" s="1"/>
  <c r="P33" i="2"/>
  <c r="BE51" i="2" s="1"/>
  <c r="AX70" i="2" s="1"/>
  <c r="P34" i="2"/>
  <c r="BH44" i="2" s="1"/>
  <c r="AW70" i="2" s="1"/>
  <c r="P35" i="2"/>
  <c r="BI51" i="2" s="1"/>
  <c r="AV70" i="2" s="1"/>
  <c r="P36" i="2"/>
  <c r="BK48" i="2" s="1"/>
  <c r="AU70" i="2" s="1"/>
  <c r="P37" i="2"/>
  <c r="BL51" i="2" s="1"/>
  <c r="P38" i="2"/>
  <c r="BF44" i="2" s="1"/>
  <c r="AX71" i="2" s="1"/>
  <c r="P39" i="2"/>
  <c r="BH45" i="2" s="1"/>
  <c r="AW71" i="2" s="1"/>
  <c r="P40" i="2"/>
  <c r="BJ44" i="2" s="1"/>
  <c r="AV71" i="2" s="1"/>
  <c r="P41" i="2"/>
  <c r="BK49" i="2" s="1"/>
  <c r="AU71" i="2" s="1"/>
  <c r="P42" i="2"/>
  <c r="BF45" i="2" s="1"/>
  <c r="AX72" i="2" s="1"/>
  <c r="P43" i="2"/>
  <c r="BH46" i="2" s="1"/>
  <c r="AW72" i="2" s="1"/>
  <c r="P44" i="2"/>
  <c r="BJ45" i="2" s="1"/>
  <c r="AV72" i="2" s="1"/>
  <c r="P45" i="2"/>
  <c r="BF46" i="2" s="1"/>
  <c r="AX73" i="2" s="1"/>
  <c r="P46" i="2"/>
  <c r="BH47" i="2" s="1"/>
  <c r="AW73" i="2" s="1"/>
  <c r="P47" i="2"/>
  <c r="BF47" i="2" s="1"/>
  <c r="AX74" i="2" s="1"/>
  <c r="P16" i="2"/>
  <c r="BG48" i="2" s="1"/>
  <c r="AW66" i="2" s="1"/>
  <c r="L17" i="2"/>
  <c r="BH41" i="2" s="1"/>
  <c r="AZ66" i="2" s="1"/>
  <c r="L18" i="2"/>
  <c r="BK35" i="2" s="1"/>
  <c r="AY66" i="2" s="1"/>
  <c r="L19" i="2"/>
  <c r="BE47" i="2" s="1"/>
  <c r="AX66" i="2" s="1"/>
  <c r="L20" i="2"/>
  <c r="BF40" i="2" s="1"/>
  <c r="BA67" i="2" s="1"/>
  <c r="L21" i="2"/>
  <c r="BI34" i="2" s="1"/>
  <c r="AZ67" i="2" s="1"/>
  <c r="L22" i="2"/>
  <c r="BK36" i="2" s="1"/>
  <c r="AY67" i="2" s="1"/>
  <c r="L23" i="2"/>
  <c r="BE48" i="2" s="1"/>
  <c r="AX67" i="2" s="1"/>
  <c r="L24" i="2"/>
  <c r="BF41" i="2" s="1"/>
  <c r="BA68" i="2" s="1"/>
  <c r="L25" i="2"/>
  <c r="BI35" i="2" s="1"/>
  <c r="AZ68" i="2" s="1"/>
  <c r="L26" i="2"/>
  <c r="BK37" i="2" s="1"/>
  <c r="AY68" i="2" s="1"/>
  <c r="L27" i="2"/>
  <c r="BE49" i="2" s="1"/>
  <c r="AX68" i="2" s="1"/>
  <c r="L28" i="2"/>
  <c r="BG34" i="2" s="1"/>
  <c r="BA69" i="2" s="1"/>
  <c r="L29" i="2"/>
  <c r="BI36" i="2" s="1"/>
  <c r="AZ69" i="2" s="1"/>
  <c r="L30" i="2"/>
  <c r="BK38" i="2" s="1"/>
  <c r="AY69" i="2" s="1"/>
  <c r="L31" i="2"/>
  <c r="BG35" i="2" s="1"/>
  <c r="BA70" i="2" s="1"/>
  <c r="L32" i="2"/>
  <c r="BI37" i="2" s="1"/>
  <c r="AZ70" i="2" s="1"/>
  <c r="L33" i="2"/>
  <c r="BK39" i="2" s="1"/>
  <c r="AY70" i="2" s="1"/>
  <c r="L34" i="2"/>
  <c r="BG36" i="2" s="1"/>
  <c r="BA71" i="2" s="1"/>
  <c r="L35" i="2"/>
  <c r="BI38" i="2" s="1"/>
  <c r="AZ71" i="2" s="1"/>
  <c r="L36" i="2"/>
  <c r="BK40" i="2" s="1"/>
  <c r="AY71" i="2" s="1"/>
  <c r="L37" i="2"/>
  <c r="BG37" i="2" s="1"/>
  <c r="BA72" i="2" s="1"/>
  <c r="L38" i="2"/>
  <c r="BI39" i="2" s="1"/>
  <c r="AZ72" i="2" s="1"/>
  <c r="L39" i="2"/>
  <c r="BK41" i="2" s="1"/>
  <c r="AY72" i="2" s="1"/>
  <c r="L40" i="2"/>
  <c r="BE36" i="2" s="1"/>
  <c r="BD73" i="2" s="1"/>
  <c r="L41" i="2"/>
  <c r="BG38" i="2" s="1"/>
  <c r="BA73" i="2" s="1"/>
  <c r="L42" i="2"/>
  <c r="BI40" i="2" s="1"/>
  <c r="AZ73" i="2" s="1"/>
  <c r="L43" i="2"/>
  <c r="BL34" i="2" s="1"/>
  <c r="AY73" i="2" s="1"/>
  <c r="L44" i="2"/>
  <c r="BE37" i="2" s="1"/>
  <c r="BD74" i="2" s="1"/>
  <c r="L45" i="2"/>
  <c r="BG39" i="2" s="1"/>
  <c r="BA74" i="2" s="1"/>
  <c r="L46" i="2"/>
  <c r="BI41" i="2" s="1"/>
  <c r="AZ74" i="2" s="1"/>
  <c r="L47" i="2"/>
  <c r="BL35" i="2" s="1"/>
  <c r="AY74" i="2" s="1"/>
  <c r="L16" i="2"/>
  <c r="BF39" i="2" s="1"/>
  <c r="BA66" i="2" s="1"/>
  <c r="H17" i="2"/>
  <c r="BJ25" i="2" s="1"/>
  <c r="BE66" i="2" s="1"/>
  <c r="H18" i="2"/>
  <c r="BG31" i="2" s="1"/>
  <c r="BF66" i="2" s="1"/>
  <c r="H19" i="2"/>
  <c r="BL28" i="2" s="1"/>
  <c r="BD67" i="2" s="1"/>
  <c r="H20" i="2"/>
  <c r="BJ26" i="2" s="1"/>
  <c r="BE67" i="2" s="1"/>
  <c r="H21" i="2"/>
  <c r="BH24" i="2" s="1"/>
  <c r="BF67" i="2" s="1"/>
  <c r="H22" i="2"/>
  <c r="BL29" i="2" s="1"/>
  <c r="H23" i="2"/>
  <c r="BJ27" i="2" s="1"/>
  <c r="BE68" i="2" s="1"/>
  <c r="H24" i="2"/>
  <c r="BH25" i="2" s="1"/>
  <c r="BF68" i="2" s="1"/>
  <c r="H25" i="2"/>
  <c r="BE31" i="2" s="1"/>
  <c r="BG68" i="2" s="1"/>
  <c r="H26" i="2"/>
  <c r="BL30" i="2" s="1"/>
  <c r="BD69" i="2" s="1"/>
  <c r="H27" i="2"/>
  <c r="BJ28" i="2" s="1"/>
  <c r="BE69" i="2" s="1"/>
  <c r="H28" i="2"/>
  <c r="BH26" i="2" s="1"/>
  <c r="BF69" i="2" s="1"/>
  <c r="H29" i="2"/>
  <c r="BF24" i="2" s="1"/>
  <c r="BG69" i="2" s="1"/>
  <c r="H30" i="2"/>
  <c r="BL31" i="2" s="1"/>
  <c r="BD70" i="2" s="1"/>
  <c r="H31" i="2"/>
  <c r="BJ29" i="2" s="1"/>
  <c r="BE70" i="2" s="1"/>
  <c r="H32" i="2"/>
  <c r="BH27" i="2" s="1"/>
  <c r="BF70" i="2" s="1"/>
  <c r="H33" i="2"/>
  <c r="BF25" i="2" s="1"/>
  <c r="BG70" i="2" s="1"/>
  <c r="H34" i="2"/>
  <c r="BE34" i="2" s="1"/>
  <c r="BD71" i="2" s="1"/>
  <c r="H35" i="2"/>
  <c r="BJ30" i="2" s="1"/>
  <c r="BE71" i="2" s="1"/>
  <c r="H36" i="2"/>
  <c r="BH28" i="2" s="1"/>
  <c r="BF71" i="2" s="1"/>
  <c r="H37" i="2"/>
  <c r="BF26" i="2" s="1"/>
  <c r="BG71" i="2" s="1"/>
  <c r="H38" i="2"/>
  <c r="BE35" i="2" s="1"/>
  <c r="BD72" i="2" s="1"/>
  <c r="H39" i="2"/>
  <c r="BJ31" i="2" s="1"/>
  <c r="BE72" i="2" s="1"/>
  <c r="H40" i="2"/>
  <c r="BH29" i="2" s="1"/>
  <c r="BF72" i="2" s="1"/>
  <c r="H41" i="2"/>
  <c r="BF27" i="2" s="1"/>
  <c r="BG72" i="2" s="1"/>
  <c r="H42" i="2"/>
  <c r="BK24" i="2" s="1"/>
  <c r="BE73" i="2" s="1"/>
  <c r="H43" i="2"/>
  <c r="BH30" i="2" s="1"/>
  <c r="BF73" i="2" s="1"/>
  <c r="H44" i="2"/>
  <c r="BF28" i="2" s="1"/>
  <c r="BG73" i="2" s="1"/>
  <c r="H45" i="2"/>
  <c r="BK25" i="2" s="1"/>
  <c r="BE74" i="2" s="1"/>
  <c r="H46" i="2"/>
  <c r="BH31" i="2" s="1"/>
  <c r="BF74" i="2" s="1"/>
  <c r="H47" i="2"/>
  <c r="BF29" i="2" s="1"/>
  <c r="BG74" i="2" s="1"/>
  <c r="H16" i="2"/>
  <c r="BL27" i="2" s="1"/>
  <c r="BD66" i="2" s="1"/>
  <c r="G110" i="3"/>
  <c r="G72" i="3"/>
  <c r="G146" i="3"/>
  <c r="G31" i="3"/>
  <c r="G123" i="3"/>
  <c r="G174" i="3"/>
  <c r="G160" i="3"/>
  <c r="G205" i="3"/>
  <c r="G143" i="3"/>
  <c r="G136" i="3"/>
  <c r="G210" i="3"/>
  <c r="G40" i="3"/>
  <c r="G192" i="3"/>
  <c r="G54" i="3"/>
  <c r="G141" i="3"/>
  <c r="G172" i="3"/>
  <c r="G188" i="3"/>
  <c r="G140" i="3"/>
  <c r="G90" i="3"/>
  <c r="G248" i="3"/>
  <c r="G194" i="3"/>
  <c r="G134" i="3"/>
  <c r="G237" i="3"/>
  <c r="G15" i="3"/>
  <c r="G262" i="3"/>
  <c r="G87" i="3"/>
  <c r="G226" i="3"/>
  <c r="G223" i="3"/>
  <c r="G39" i="3"/>
  <c r="G158" i="3"/>
  <c r="G26" i="3"/>
  <c r="G42" i="3"/>
  <c r="G60" i="3"/>
  <c r="G161" i="3"/>
  <c r="G114" i="3"/>
  <c r="G241" i="3"/>
  <c r="G195" i="3"/>
  <c r="G97" i="3"/>
  <c r="G132" i="3"/>
  <c r="G203" i="3"/>
  <c r="G138" i="3"/>
  <c r="G65" i="3"/>
  <c r="G149" i="3"/>
  <c r="G193" i="3"/>
  <c r="G182" i="3"/>
  <c r="G220" i="3"/>
  <c r="G156" i="3"/>
  <c r="G243" i="3"/>
  <c r="G104" i="3"/>
  <c r="G27" i="3"/>
  <c r="G246" i="3"/>
  <c r="G49" i="3"/>
  <c r="G37" i="3"/>
  <c r="G130" i="3"/>
  <c r="G59" i="3"/>
  <c r="G23" i="3"/>
  <c r="G252" i="3"/>
  <c r="G129" i="3"/>
  <c r="G265" i="3"/>
  <c r="G229" i="3"/>
  <c r="G197" i="3"/>
  <c r="G207" i="3"/>
  <c r="G73" i="3"/>
  <c r="G257" i="3"/>
  <c r="G119" i="3"/>
  <c r="G260" i="3"/>
  <c r="G177" i="3"/>
  <c r="G180" i="3"/>
  <c r="G131" i="3"/>
  <c r="G145" i="3"/>
  <c r="G170" i="3"/>
  <c r="G70" i="3"/>
  <c r="G163" i="3"/>
  <c r="G230" i="3"/>
  <c r="G67" i="3"/>
  <c r="G251" i="3"/>
  <c r="G53" i="3"/>
  <c r="G167" i="3"/>
  <c r="G185" i="3"/>
  <c r="G74" i="3"/>
  <c r="G46" i="3"/>
  <c r="G214" i="3"/>
  <c r="G108" i="3"/>
  <c r="G235" i="3"/>
  <c r="G151" i="3"/>
  <c r="G133" i="3"/>
  <c r="G245" i="3"/>
  <c r="G20" i="3"/>
  <c r="G78" i="3"/>
  <c r="G202" i="3"/>
  <c r="G179" i="3"/>
  <c r="G117" i="3"/>
  <c r="G258" i="3"/>
  <c r="G86" i="3"/>
  <c r="G231" i="3"/>
  <c r="G33" i="3"/>
  <c r="G58" i="3"/>
  <c r="G96" i="3"/>
  <c r="G81" i="3"/>
  <c r="G153" i="3"/>
  <c r="G85" i="3"/>
  <c r="G254" i="3"/>
  <c r="G204" i="3"/>
  <c r="G236" i="3"/>
  <c r="G91" i="3"/>
  <c r="G79" i="3"/>
  <c r="G111" i="3"/>
  <c r="G261" i="3"/>
  <c r="G155" i="3"/>
  <c r="G211" i="3"/>
  <c r="G169" i="3"/>
  <c r="G127" i="3"/>
  <c r="G227" i="3"/>
  <c r="G199" i="3"/>
  <c r="G120" i="3"/>
  <c r="G50" i="3"/>
  <c r="G56" i="3"/>
  <c r="G208" i="3"/>
  <c r="G18" i="3"/>
  <c r="G121" i="3"/>
  <c r="G106" i="3"/>
  <c r="G75" i="3"/>
  <c r="G103" i="3"/>
  <c r="G173" i="3"/>
  <c r="G76" i="3"/>
  <c r="G217" i="3"/>
  <c r="G259" i="3"/>
  <c r="G116" i="3"/>
  <c r="G105" i="3"/>
  <c r="G101" i="3"/>
  <c r="G64" i="3"/>
  <c r="G255" i="3"/>
  <c r="G154" i="3"/>
  <c r="G148" i="3"/>
  <c r="G63" i="3"/>
  <c r="G124" i="3"/>
  <c r="G212" i="3"/>
  <c r="G122" i="3"/>
  <c r="G147" i="3"/>
  <c r="G164" i="3"/>
  <c r="G221" i="3"/>
  <c r="G250" i="3"/>
  <c r="G69" i="3"/>
  <c r="G36" i="3"/>
  <c r="G142" i="3"/>
  <c r="G24" i="3"/>
  <c r="G107" i="3"/>
  <c r="G34" i="3"/>
  <c r="G189" i="3"/>
  <c r="G267" i="3"/>
  <c r="G152" i="3"/>
  <c r="G247" i="3"/>
  <c r="G240" i="3"/>
  <c r="G218" i="3"/>
  <c r="G38" i="3"/>
  <c r="G196" i="3"/>
  <c r="G44" i="3"/>
  <c r="G93" i="3"/>
  <c r="G30" i="3"/>
  <c r="G51" i="3"/>
  <c r="G43" i="3"/>
  <c r="G19" i="3"/>
  <c r="G41" i="3"/>
  <c r="G228" i="3"/>
  <c r="G45" i="3"/>
  <c r="G159" i="3"/>
  <c r="G95" i="3"/>
  <c r="G17" i="3"/>
  <c r="G242" i="3"/>
  <c r="G88" i="3"/>
  <c r="G71" i="3"/>
  <c r="G94" i="3"/>
  <c r="G21" i="3"/>
  <c r="G35" i="3"/>
  <c r="G184" i="3"/>
  <c r="G269" i="3"/>
  <c r="G84" i="3"/>
  <c r="G222" i="3"/>
  <c r="G109" i="3"/>
  <c r="G48" i="3"/>
  <c r="G47" i="3"/>
  <c r="G215" i="3"/>
  <c r="G92" i="3"/>
  <c r="G99" i="3"/>
  <c r="G89" i="3"/>
  <c r="G201" i="3"/>
  <c r="G126" i="3"/>
  <c r="G191" i="3"/>
  <c r="G256" i="3"/>
  <c r="G233" i="3"/>
  <c r="G213" i="3"/>
  <c r="G171" i="3"/>
  <c r="G61" i="3"/>
  <c r="G176" i="3"/>
  <c r="G224" i="3"/>
  <c r="G102" i="3"/>
  <c r="G175" i="3"/>
  <c r="G166" i="3"/>
  <c r="G68" i="3"/>
  <c r="G118" i="3"/>
  <c r="G100" i="3"/>
  <c r="G183" i="3"/>
  <c r="G80" i="3"/>
  <c r="G157" i="3"/>
  <c r="G115" i="3"/>
  <c r="G82" i="3"/>
  <c r="G216" i="3"/>
  <c r="G139" i="3"/>
  <c r="G83" i="3"/>
  <c r="G200" i="3"/>
  <c r="G28" i="3"/>
  <c r="G209" i="3"/>
  <c r="G270" i="3"/>
  <c r="G98" i="3"/>
  <c r="G144" i="3"/>
  <c r="G162" i="3"/>
  <c r="G77" i="3"/>
  <c r="G264" i="3"/>
  <c r="G25" i="3"/>
  <c r="G62" i="3"/>
  <c r="G239" i="3"/>
  <c r="G125" i="3"/>
  <c r="G128" i="3"/>
  <c r="G178" i="3"/>
  <c r="G112" i="3"/>
  <c r="G234" i="3"/>
  <c r="G198" i="3"/>
  <c r="G181" i="3"/>
  <c r="G268" i="3"/>
  <c r="G263" i="3"/>
  <c r="G165" i="3"/>
  <c r="G186" i="3"/>
  <c r="G187" i="3"/>
  <c r="G190" i="3"/>
  <c r="G244" i="3"/>
  <c r="G52" i="3"/>
  <c r="G57" i="3"/>
  <c r="G32" i="3"/>
  <c r="G22" i="3"/>
  <c r="G113" i="3"/>
  <c r="G55" i="3"/>
  <c r="G266" i="3"/>
  <c r="G232" i="3"/>
  <c r="G225" i="3"/>
  <c r="G249" i="3"/>
  <c r="G150" i="3"/>
  <c r="G137" i="3"/>
  <c r="G29" i="3"/>
  <c r="G219" i="3"/>
  <c r="G168" i="3"/>
  <c r="G66" i="3"/>
  <c r="G253" i="3"/>
  <c r="G206" i="3"/>
  <c r="G16" i="3"/>
  <c r="G238" i="3"/>
  <c r="G135" i="3"/>
  <c r="I15" i="3" l="1"/>
  <c r="I21" i="3" s="1"/>
  <c r="H21" i="3" s="1"/>
  <c r="J21" i="3" s="1"/>
  <c r="BD68" i="2"/>
  <c r="AT70" i="2"/>
  <c r="J7" i="3"/>
  <c r="J8" i="3"/>
  <c r="H15" i="3" l="1"/>
  <c r="J15" i="3" s="1"/>
  <c r="I244" i="3"/>
  <c r="H244" i="3" s="1"/>
  <c r="J244" i="3" s="1"/>
  <c r="I208" i="3"/>
  <c r="H208" i="3" s="1"/>
  <c r="I236" i="3"/>
  <c r="H236" i="3" s="1"/>
  <c r="J236" i="3" s="1"/>
  <c r="I76" i="3"/>
  <c r="H76" i="3" s="1"/>
  <c r="J76" i="3" s="1"/>
  <c r="I32" i="3"/>
  <c r="H32" i="3" s="1"/>
  <c r="J32" i="3" s="1"/>
  <c r="I243" i="3"/>
  <c r="H243" i="3" s="1"/>
  <c r="J243" i="3" s="1"/>
  <c r="I131" i="3"/>
  <c r="H131" i="3" s="1"/>
  <c r="J131" i="3" s="1"/>
  <c r="I210" i="3"/>
  <c r="H210" i="3" s="1"/>
  <c r="J210" i="3" s="1"/>
  <c r="I34" i="3"/>
  <c r="H34" i="3" s="1"/>
  <c r="J34" i="3" s="1"/>
  <c r="I129" i="3"/>
  <c r="H129" i="3" s="1"/>
  <c r="I228" i="3"/>
  <c r="H228" i="3" s="1"/>
  <c r="J228" i="3" s="1"/>
  <c r="I136" i="3"/>
  <c r="H136" i="3" s="1"/>
  <c r="J136" i="3" s="1"/>
  <c r="I216" i="3"/>
  <c r="H216" i="3" s="1"/>
  <c r="J216" i="3" s="1"/>
  <c r="I124" i="3"/>
  <c r="H124" i="3" s="1"/>
  <c r="J124" i="3" s="1"/>
  <c r="I48" i="3"/>
  <c r="H48" i="3" s="1"/>
  <c r="J48" i="3" s="1"/>
  <c r="I259" i="3"/>
  <c r="H259" i="3" s="1"/>
  <c r="J259" i="3" s="1"/>
  <c r="I215" i="3"/>
  <c r="H215" i="3" s="1"/>
  <c r="J215" i="3" s="1"/>
  <c r="I19" i="3"/>
  <c r="H19" i="3" s="1"/>
  <c r="I98" i="3"/>
  <c r="H98" i="3" s="1"/>
  <c r="J98" i="3" s="1"/>
  <c r="I193" i="3"/>
  <c r="H193" i="3" s="1"/>
  <c r="J193" i="3" s="1"/>
  <c r="I17" i="3"/>
  <c r="H17" i="3" s="1"/>
  <c r="J17" i="3" s="1"/>
  <c r="I248" i="3"/>
  <c r="H248" i="3" s="1"/>
  <c r="J248" i="3" s="1"/>
  <c r="I120" i="3"/>
  <c r="H120" i="3" s="1"/>
  <c r="J120" i="3" s="1"/>
  <c r="I212" i="3"/>
  <c r="H212" i="3" s="1"/>
  <c r="J212" i="3" s="1"/>
  <c r="I148" i="3"/>
  <c r="H148" i="3" s="1"/>
  <c r="J148" i="3" s="1"/>
  <c r="I240" i="3"/>
  <c r="H240" i="3" s="1"/>
  <c r="I160" i="3"/>
  <c r="H160" i="3" s="1"/>
  <c r="J160" i="3" s="1"/>
  <c r="I152" i="3"/>
  <c r="H152" i="3" s="1"/>
  <c r="J152" i="3" s="1"/>
  <c r="I188" i="3"/>
  <c r="H188" i="3" s="1"/>
  <c r="J188" i="3" s="1"/>
  <c r="I108" i="3"/>
  <c r="H108" i="3" s="1"/>
  <c r="J108" i="3" s="1"/>
  <c r="I88" i="3"/>
  <c r="H88" i="3" s="1"/>
  <c r="J88" i="3" s="1"/>
  <c r="I64" i="3"/>
  <c r="H64" i="3" s="1"/>
  <c r="J64" i="3" s="1"/>
  <c r="I44" i="3"/>
  <c r="H44" i="3" s="1"/>
  <c r="J44" i="3" s="1"/>
  <c r="I24" i="3"/>
  <c r="H24" i="3" s="1"/>
  <c r="J24" i="3" s="1"/>
  <c r="I251" i="3"/>
  <c r="H251" i="3" s="1"/>
  <c r="J251" i="3" s="1"/>
  <c r="I231" i="3"/>
  <c r="H231" i="3" s="1"/>
  <c r="I211" i="3"/>
  <c r="H211" i="3" s="1"/>
  <c r="J211" i="3" s="1"/>
  <c r="I163" i="3"/>
  <c r="H163" i="3" s="1"/>
  <c r="J163" i="3" s="1"/>
  <c r="I83" i="3"/>
  <c r="H83" i="3" s="1"/>
  <c r="J83" i="3" s="1"/>
  <c r="I258" i="3"/>
  <c r="H258" i="3" s="1"/>
  <c r="J258" i="3" s="1"/>
  <c r="I162" i="3"/>
  <c r="H162" i="3" s="1"/>
  <c r="J162" i="3" s="1"/>
  <c r="I82" i="3"/>
  <c r="H82" i="3" s="1"/>
  <c r="J82" i="3" s="1"/>
  <c r="I257" i="3"/>
  <c r="H257" i="3" s="1"/>
  <c r="J257" i="3" s="1"/>
  <c r="I161" i="3"/>
  <c r="H161" i="3" s="1"/>
  <c r="J161" i="3" s="1"/>
  <c r="I81" i="3"/>
  <c r="H81" i="3" s="1"/>
  <c r="J81" i="3" s="1"/>
  <c r="I184" i="3"/>
  <c r="H184" i="3" s="1"/>
  <c r="J184" i="3" s="1"/>
  <c r="I180" i="3"/>
  <c r="H180" i="3" s="1"/>
  <c r="J180" i="3" s="1"/>
  <c r="I232" i="3"/>
  <c r="H232" i="3" s="1"/>
  <c r="J232" i="3" s="1"/>
  <c r="I112" i="3"/>
  <c r="H112" i="3" s="1"/>
  <c r="J112" i="3" s="1"/>
  <c r="I156" i="3"/>
  <c r="H156" i="3" s="1"/>
  <c r="J156" i="3" s="1"/>
  <c r="I96" i="3"/>
  <c r="H96" i="3" s="1"/>
  <c r="J96" i="3" s="1"/>
  <c r="I56" i="3"/>
  <c r="H56" i="3" s="1"/>
  <c r="J56" i="3" s="1"/>
  <c r="I263" i="3"/>
  <c r="H263" i="3" s="1"/>
  <c r="J263" i="3" s="1"/>
  <c r="I219" i="3"/>
  <c r="H219" i="3" s="1"/>
  <c r="J219" i="3" s="1"/>
  <c r="I199" i="3"/>
  <c r="H199" i="3" s="1"/>
  <c r="J199" i="3" s="1"/>
  <c r="I35" i="3"/>
  <c r="H35" i="3" s="1"/>
  <c r="J35" i="3" s="1"/>
  <c r="I130" i="3"/>
  <c r="H130" i="3" s="1"/>
  <c r="J130" i="3" s="1"/>
  <c r="I209" i="3"/>
  <c r="H209" i="3" s="1"/>
  <c r="J209" i="3" s="1"/>
  <c r="I33" i="3"/>
  <c r="H33" i="3" s="1"/>
  <c r="J33" i="3" s="1"/>
  <c r="I264" i="3"/>
  <c r="H264" i="3" s="1"/>
  <c r="J264" i="3" s="1"/>
  <c r="I168" i="3"/>
  <c r="H168" i="3" s="1"/>
  <c r="J168" i="3" s="1"/>
  <c r="I164" i="3"/>
  <c r="H164" i="3" s="1"/>
  <c r="J164" i="3" s="1"/>
  <c r="I176" i="3"/>
  <c r="H176" i="3" s="1"/>
  <c r="J176" i="3" s="1"/>
  <c r="I220" i="3"/>
  <c r="H220" i="3" s="1"/>
  <c r="J220" i="3" s="1"/>
  <c r="I92" i="3"/>
  <c r="H92" i="3" s="1"/>
  <c r="J92" i="3" s="1"/>
  <c r="I72" i="3"/>
  <c r="H72" i="3" s="1"/>
  <c r="J72" i="3" s="1"/>
  <c r="I28" i="3"/>
  <c r="H28" i="3" s="1"/>
  <c r="I235" i="3"/>
  <c r="H235" i="3" s="1"/>
  <c r="J235" i="3" s="1"/>
  <c r="I195" i="3"/>
  <c r="H195" i="3" s="1"/>
  <c r="J195" i="3" s="1"/>
  <c r="I99" i="3"/>
  <c r="H99" i="3" s="1"/>
  <c r="J99" i="3" s="1"/>
  <c r="I194" i="3"/>
  <c r="H194" i="3" s="1"/>
  <c r="J194" i="3" s="1"/>
  <c r="I18" i="3"/>
  <c r="H18" i="3" s="1"/>
  <c r="J18" i="3" s="1"/>
  <c r="I97" i="3"/>
  <c r="H97" i="3" s="1"/>
  <c r="J97" i="3" s="1"/>
  <c r="I200" i="3"/>
  <c r="H200" i="3" s="1"/>
  <c r="J200" i="3" s="1"/>
  <c r="I260" i="3"/>
  <c r="H260" i="3" s="1"/>
  <c r="J260" i="3" s="1"/>
  <c r="I196" i="3"/>
  <c r="H196" i="3" s="1"/>
  <c r="J196" i="3" s="1"/>
  <c r="I116" i="3"/>
  <c r="H116" i="3" s="1"/>
  <c r="J116" i="3" s="1"/>
  <c r="I224" i="3"/>
  <c r="H224" i="3" s="1"/>
  <c r="J224" i="3" s="1"/>
  <c r="I144" i="3"/>
  <c r="H144" i="3" s="1"/>
  <c r="J144" i="3" s="1"/>
  <c r="I252" i="3"/>
  <c r="H252" i="3" s="1"/>
  <c r="J252" i="3" s="1"/>
  <c r="I172" i="3"/>
  <c r="H172" i="3" s="1"/>
  <c r="J172" i="3" s="1"/>
  <c r="I104" i="3"/>
  <c r="H104" i="3" s="1"/>
  <c r="J104" i="3" s="1"/>
  <c r="I80" i="3"/>
  <c r="H80" i="3" s="1"/>
  <c r="J80" i="3" s="1"/>
  <c r="I60" i="3"/>
  <c r="H60" i="3" s="1"/>
  <c r="J60" i="3" s="1"/>
  <c r="I40" i="3"/>
  <c r="H40" i="3" s="1"/>
  <c r="J40" i="3" s="1"/>
  <c r="I267" i="3"/>
  <c r="H267" i="3" s="1"/>
  <c r="J267" i="3" s="1"/>
  <c r="I247" i="3"/>
  <c r="H247" i="3" s="1"/>
  <c r="J247" i="3" s="1"/>
  <c r="I227" i="3"/>
  <c r="H227" i="3" s="1"/>
  <c r="J227" i="3" s="1"/>
  <c r="I203" i="3"/>
  <c r="H203" i="3" s="1"/>
  <c r="J203" i="3" s="1"/>
  <c r="I147" i="3"/>
  <c r="H147" i="3" s="1"/>
  <c r="I67" i="3"/>
  <c r="H67" i="3" s="1"/>
  <c r="J67" i="3" s="1"/>
  <c r="I226" i="3"/>
  <c r="H226" i="3" s="1"/>
  <c r="J226" i="3" s="1"/>
  <c r="I146" i="3"/>
  <c r="H146" i="3" s="1"/>
  <c r="J146" i="3" s="1"/>
  <c r="I66" i="3"/>
  <c r="H66" i="3" s="1"/>
  <c r="J66" i="3" s="1"/>
  <c r="I225" i="3"/>
  <c r="H225" i="3" s="1"/>
  <c r="J225" i="3" s="1"/>
  <c r="I145" i="3"/>
  <c r="H145" i="3" s="1"/>
  <c r="J145" i="3" s="1"/>
  <c r="I65" i="3"/>
  <c r="H65" i="3" s="1"/>
  <c r="J65" i="3" s="1"/>
  <c r="I132" i="3"/>
  <c r="H132" i="3" s="1"/>
  <c r="J132" i="3" s="1"/>
  <c r="I256" i="3"/>
  <c r="H256" i="3" s="1"/>
  <c r="J256" i="3" s="1"/>
  <c r="I192" i="3"/>
  <c r="H192" i="3" s="1"/>
  <c r="J192" i="3" s="1"/>
  <c r="I128" i="3"/>
  <c r="H128" i="3" s="1"/>
  <c r="J128" i="3" s="1"/>
  <c r="I268" i="3"/>
  <c r="H268" i="3" s="1"/>
  <c r="J268" i="3" s="1"/>
  <c r="I204" i="3"/>
  <c r="H204" i="3" s="1"/>
  <c r="J204" i="3" s="1"/>
  <c r="I140" i="3"/>
  <c r="H140" i="3" s="1"/>
  <c r="J140" i="3" s="1"/>
  <c r="I100" i="3"/>
  <c r="H100" i="3" s="1"/>
  <c r="J100" i="3" s="1"/>
  <c r="I84" i="3"/>
  <c r="H84" i="3" s="1"/>
  <c r="J84" i="3" s="1"/>
  <c r="I68" i="3"/>
  <c r="H68" i="3" s="1"/>
  <c r="J68" i="3" s="1"/>
  <c r="I52" i="3"/>
  <c r="H52" i="3" s="1"/>
  <c r="J52" i="3" s="1"/>
  <c r="I36" i="3"/>
  <c r="H36" i="3" s="1"/>
  <c r="J36" i="3" s="1"/>
  <c r="I20" i="3"/>
  <c r="H20" i="3" s="1"/>
  <c r="J20" i="3" s="1"/>
  <c r="I255" i="3"/>
  <c r="H255" i="3" s="1"/>
  <c r="J255" i="3" s="1"/>
  <c r="I239" i="3"/>
  <c r="H239" i="3" s="1"/>
  <c r="J239" i="3" s="1"/>
  <c r="I223" i="3"/>
  <c r="H223" i="3" s="1"/>
  <c r="J223" i="3" s="1"/>
  <c r="I207" i="3"/>
  <c r="H207" i="3" s="1"/>
  <c r="J207" i="3" s="1"/>
  <c r="I179" i="3"/>
  <c r="H179" i="3" s="1"/>
  <c r="J179" i="3" s="1"/>
  <c r="I115" i="3"/>
  <c r="H115" i="3" s="1"/>
  <c r="J115" i="3" s="1"/>
  <c r="I51" i="3"/>
  <c r="H51" i="3" s="1"/>
  <c r="J51" i="3" s="1"/>
  <c r="I242" i="3"/>
  <c r="H242" i="3" s="1"/>
  <c r="J242" i="3" s="1"/>
  <c r="I178" i="3"/>
  <c r="H178" i="3" s="1"/>
  <c r="J178" i="3" s="1"/>
  <c r="I114" i="3"/>
  <c r="H114" i="3" s="1"/>
  <c r="J114" i="3" s="1"/>
  <c r="I50" i="3"/>
  <c r="H50" i="3" s="1"/>
  <c r="J50" i="3" s="1"/>
  <c r="I241" i="3"/>
  <c r="H241" i="3" s="1"/>
  <c r="J241" i="3" s="1"/>
  <c r="I177" i="3"/>
  <c r="H177" i="3" s="1"/>
  <c r="J177" i="3" s="1"/>
  <c r="I113" i="3"/>
  <c r="H113" i="3" s="1"/>
  <c r="J113" i="3" s="1"/>
  <c r="I49" i="3"/>
  <c r="H49" i="3" s="1"/>
  <c r="J49" i="3" s="1"/>
  <c r="I191" i="3"/>
  <c r="H191" i="3" s="1"/>
  <c r="J191" i="3" s="1"/>
  <c r="I175" i="3"/>
  <c r="H175" i="3" s="1"/>
  <c r="J175" i="3" s="1"/>
  <c r="I159" i="3"/>
  <c r="H159" i="3" s="1"/>
  <c r="J159" i="3" s="1"/>
  <c r="I143" i="3"/>
  <c r="H143" i="3" s="1"/>
  <c r="J143" i="3" s="1"/>
  <c r="I127" i="3"/>
  <c r="H127" i="3" s="1"/>
  <c r="J127" i="3" s="1"/>
  <c r="I111" i="3"/>
  <c r="H111" i="3" s="1"/>
  <c r="J111" i="3" s="1"/>
  <c r="I95" i="3"/>
  <c r="H95" i="3" s="1"/>
  <c r="J95" i="3" s="1"/>
  <c r="I79" i="3"/>
  <c r="H79" i="3" s="1"/>
  <c r="J79" i="3" s="1"/>
  <c r="I63" i="3"/>
  <c r="H63" i="3" s="1"/>
  <c r="J63" i="3" s="1"/>
  <c r="I47" i="3"/>
  <c r="H47" i="3" s="1"/>
  <c r="J47" i="3" s="1"/>
  <c r="I31" i="3"/>
  <c r="H31" i="3" s="1"/>
  <c r="J31" i="3" s="1"/>
  <c r="I270" i="3"/>
  <c r="H270" i="3" s="1"/>
  <c r="J270" i="3" s="1"/>
  <c r="I254" i="3"/>
  <c r="H254" i="3" s="1"/>
  <c r="J254" i="3" s="1"/>
  <c r="I238" i="3"/>
  <c r="H238" i="3" s="1"/>
  <c r="J238" i="3" s="1"/>
  <c r="I222" i="3"/>
  <c r="H222" i="3" s="1"/>
  <c r="J222" i="3" s="1"/>
  <c r="I206" i="3"/>
  <c r="H206" i="3" s="1"/>
  <c r="J206" i="3" s="1"/>
  <c r="I190" i="3"/>
  <c r="H190" i="3" s="1"/>
  <c r="J190" i="3" s="1"/>
  <c r="I174" i="3"/>
  <c r="H174" i="3" s="1"/>
  <c r="J174" i="3" s="1"/>
  <c r="I158" i="3"/>
  <c r="H158" i="3" s="1"/>
  <c r="J158" i="3" s="1"/>
  <c r="I142" i="3"/>
  <c r="H142" i="3" s="1"/>
  <c r="J142" i="3" s="1"/>
  <c r="I126" i="3"/>
  <c r="H126" i="3" s="1"/>
  <c r="J126" i="3" s="1"/>
  <c r="I110" i="3"/>
  <c r="H110" i="3" s="1"/>
  <c r="J110" i="3" s="1"/>
  <c r="I94" i="3"/>
  <c r="H94" i="3" s="1"/>
  <c r="J94" i="3" s="1"/>
  <c r="I78" i="3"/>
  <c r="H78" i="3" s="1"/>
  <c r="J78" i="3" s="1"/>
  <c r="I62" i="3"/>
  <c r="H62" i="3" s="1"/>
  <c r="J62" i="3" s="1"/>
  <c r="I46" i="3"/>
  <c r="H46" i="3" s="1"/>
  <c r="J46" i="3" s="1"/>
  <c r="I30" i="3"/>
  <c r="H30" i="3" s="1"/>
  <c r="J30" i="3" s="1"/>
  <c r="I269" i="3"/>
  <c r="H269" i="3" s="1"/>
  <c r="J269" i="3" s="1"/>
  <c r="I253" i="3"/>
  <c r="H253" i="3" s="1"/>
  <c r="J253" i="3" s="1"/>
  <c r="I237" i="3"/>
  <c r="H237" i="3" s="1"/>
  <c r="J237" i="3" s="1"/>
  <c r="I221" i="3"/>
  <c r="H221" i="3" s="1"/>
  <c r="J221" i="3" s="1"/>
  <c r="I205" i="3"/>
  <c r="H205" i="3" s="1"/>
  <c r="J205" i="3" s="1"/>
  <c r="I189" i="3"/>
  <c r="H189" i="3" s="1"/>
  <c r="J189" i="3" s="1"/>
  <c r="I173" i="3"/>
  <c r="H173" i="3" s="1"/>
  <c r="J173" i="3" s="1"/>
  <c r="I157" i="3"/>
  <c r="H157" i="3" s="1"/>
  <c r="J157" i="3" s="1"/>
  <c r="I141" i="3"/>
  <c r="H141" i="3" s="1"/>
  <c r="J141" i="3" s="1"/>
  <c r="I125" i="3"/>
  <c r="H125" i="3" s="1"/>
  <c r="J125" i="3" s="1"/>
  <c r="I109" i="3"/>
  <c r="H109" i="3" s="1"/>
  <c r="J109" i="3" s="1"/>
  <c r="I93" i="3"/>
  <c r="H93" i="3" s="1"/>
  <c r="J93" i="3" s="1"/>
  <c r="I77" i="3"/>
  <c r="H77" i="3" s="1"/>
  <c r="J77" i="3" s="1"/>
  <c r="I61" i="3"/>
  <c r="H61" i="3" s="1"/>
  <c r="J61" i="3" s="1"/>
  <c r="I45" i="3"/>
  <c r="H45" i="3" s="1"/>
  <c r="J45" i="3" s="1"/>
  <c r="I29" i="3"/>
  <c r="H29" i="3" s="1"/>
  <c r="J29" i="3" s="1"/>
  <c r="I16" i="3"/>
  <c r="H16" i="3" s="1"/>
  <c r="J16" i="3" s="1"/>
  <c r="I187" i="3"/>
  <c r="H187" i="3" s="1"/>
  <c r="J187" i="3" s="1"/>
  <c r="I171" i="3"/>
  <c r="H171" i="3" s="1"/>
  <c r="J171" i="3" s="1"/>
  <c r="I155" i="3"/>
  <c r="H155" i="3" s="1"/>
  <c r="J155" i="3" s="1"/>
  <c r="I139" i="3"/>
  <c r="H139" i="3" s="1"/>
  <c r="J139" i="3" s="1"/>
  <c r="I123" i="3"/>
  <c r="H123" i="3" s="1"/>
  <c r="J123" i="3" s="1"/>
  <c r="I107" i="3"/>
  <c r="H107" i="3" s="1"/>
  <c r="J107" i="3" s="1"/>
  <c r="I91" i="3"/>
  <c r="H91" i="3" s="1"/>
  <c r="J91" i="3" s="1"/>
  <c r="I75" i="3"/>
  <c r="H75" i="3" s="1"/>
  <c r="J75" i="3" s="1"/>
  <c r="I59" i="3"/>
  <c r="H59" i="3" s="1"/>
  <c r="J59" i="3" s="1"/>
  <c r="I43" i="3"/>
  <c r="H43" i="3" s="1"/>
  <c r="J43" i="3" s="1"/>
  <c r="I27" i="3"/>
  <c r="H27" i="3" s="1"/>
  <c r="J27" i="3" s="1"/>
  <c r="I266" i="3"/>
  <c r="H266" i="3" s="1"/>
  <c r="J266" i="3" s="1"/>
  <c r="I250" i="3"/>
  <c r="H250" i="3" s="1"/>
  <c r="J250" i="3" s="1"/>
  <c r="I234" i="3"/>
  <c r="H234" i="3" s="1"/>
  <c r="J234" i="3" s="1"/>
  <c r="I218" i="3"/>
  <c r="H218" i="3" s="1"/>
  <c r="J218" i="3" s="1"/>
  <c r="I202" i="3"/>
  <c r="H202" i="3" s="1"/>
  <c r="J202" i="3" s="1"/>
  <c r="I186" i="3"/>
  <c r="H186" i="3" s="1"/>
  <c r="J186" i="3" s="1"/>
  <c r="I170" i="3"/>
  <c r="H170" i="3" s="1"/>
  <c r="J170" i="3" s="1"/>
  <c r="I154" i="3"/>
  <c r="H154" i="3" s="1"/>
  <c r="J154" i="3" s="1"/>
  <c r="I138" i="3"/>
  <c r="H138" i="3" s="1"/>
  <c r="J138" i="3" s="1"/>
  <c r="I122" i="3"/>
  <c r="H122" i="3" s="1"/>
  <c r="J122" i="3" s="1"/>
  <c r="I106" i="3"/>
  <c r="H106" i="3" s="1"/>
  <c r="J106" i="3" s="1"/>
  <c r="I90" i="3"/>
  <c r="H90" i="3" s="1"/>
  <c r="J90" i="3" s="1"/>
  <c r="I74" i="3"/>
  <c r="H74" i="3" s="1"/>
  <c r="J74" i="3" s="1"/>
  <c r="I58" i="3"/>
  <c r="H58" i="3" s="1"/>
  <c r="J58" i="3" s="1"/>
  <c r="I42" i="3"/>
  <c r="H42" i="3" s="1"/>
  <c r="J42" i="3" s="1"/>
  <c r="I26" i="3"/>
  <c r="H26" i="3" s="1"/>
  <c r="J26" i="3" s="1"/>
  <c r="I265" i="3"/>
  <c r="H265" i="3" s="1"/>
  <c r="J265" i="3" s="1"/>
  <c r="I249" i="3"/>
  <c r="H249" i="3" s="1"/>
  <c r="J249" i="3" s="1"/>
  <c r="I233" i="3"/>
  <c r="H233" i="3" s="1"/>
  <c r="J233" i="3" s="1"/>
  <c r="I217" i="3"/>
  <c r="H217" i="3" s="1"/>
  <c r="J217" i="3" s="1"/>
  <c r="I201" i="3"/>
  <c r="H201" i="3" s="1"/>
  <c r="I185" i="3"/>
  <c r="H185" i="3" s="1"/>
  <c r="J185" i="3" s="1"/>
  <c r="I169" i="3"/>
  <c r="H169" i="3" s="1"/>
  <c r="J169" i="3" s="1"/>
  <c r="I153" i="3"/>
  <c r="H153" i="3" s="1"/>
  <c r="J153" i="3" s="1"/>
  <c r="I137" i="3"/>
  <c r="H137" i="3" s="1"/>
  <c r="J137" i="3" s="1"/>
  <c r="I121" i="3"/>
  <c r="H121" i="3" s="1"/>
  <c r="J121" i="3" s="1"/>
  <c r="I105" i="3"/>
  <c r="H105" i="3" s="1"/>
  <c r="J105" i="3" s="1"/>
  <c r="I89" i="3"/>
  <c r="H89" i="3" s="1"/>
  <c r="J89" i="3" s="1"/>
  <c r="I73" i="3"/>
  <c r="H73" i="3" s="1"/>
  <c r="J73" i="3" s="1"/>
  <c r="I57" i="3"/>
  <c r="H57" i="3" s="1"/>
  <c r="J57" i="3" s="1"/>
  <c r="I41" i="3"/>
  <c r="H41" i="3" s="1"/>
  <c r="J41" i="3" s="1"/>
  <c r="I25" i="3"/>
  <c r="H25" i="3" s="1"/>
  <c r="J25" i="3" s="1"/>
  <c r="I183" i="3"/>
  <c r="H183" i="3" s="1"/>
  <c r="J183" i="3" s="1"/>
  <c r="I167" i="3"/>
  <c r="H167" i="3" s="1"/>
  <c r="J167" i="3" s="1"/>
  <c r="I151" i="3"/>
  <c r="H151" i="3" s="1"/>
  <c r="J151" i="3" s="1"/>
  <c r="I135" i="3"/>
  <c r="H135" i="3" s="1"/>
  <c r="J135" i="3" s="1"/>
  <c r="I119" i="3"/>
  <c r="H119" i="3" s="1"/>
  <c r="J119" i="3" s="1"/>
  <c r="I103" i="3"/>
  <c r="H103" i="3" s="1"/>
  <c r="J103" i="3" s="1"/>
  <c r="I87" i="3"/>
  <c r="H87" i="3" s="1"/>
  <c r="J87" i="3" s="1"/>
  <c r="I71" i="3"/>
  <c r="H71" i="3" s="1"/>
  <c r="J71" i="3" s="1"/>
  <c r="I55" i="3"/>
  <c r="H55" i="3" s="1"/>
  <c r="J55" i="3" s="1"/>
  <c r="I39" i="3"/>
  <c r="H39" i="3" s="1"/>
  <c r="J39" i="3" s="1"/>
  <c r="I23" i="3"/>
  <c r="H23" i="3" s="1"/>
  <c r="J23" i="3" s="1"/>
  <c r="I262" i="3"/>
  <c r="H262" i="3" s="1"/>
  <c r="J262" i="3" s="1"/>
  <c r="I246" i="3"/>
  <c r="H246" i="3" s="1"/>
  <c r="J246" i="3" s="1"/>
  <c r="I230" i="3"/>
  <c r="H230" i="3" s="1"/>
  <c r="J230" i="3" s="1"/>
  <c r="I214" i="3"/>
  <c r="H214" i="3" s="1"/>
  <c r="J214" i="3" s="1"/>
  <c r="I198" i="3"/>
  <c r="H198" i="3" s="1"/>
  <c r="J198" i="3" s="1"/>
  <c r="I182" i="3"/>
  <c r="H182" i="3" s="1"/>
  <c r="J182" i="3" s="1"/>
  <c r="I166" i="3"/>
  <c r="H166" i="3" s="1"/>
  <c r="J166" i="3" s="1"/>
  <c r="I150" i="3"/>
  <c r="H150" i="3" s="1"/>
  <c r="J150" i="3" s="1"/>
  <c r="I134" i="3"/>
  <c r="H134" i="3" s="1"/>
  <c r="J134" i="3" s="1"/>
  <c r="I118" i="3"/>
  <c r="H118" i="3" s="1"/>
  <c r="J118" i="3" s="1"/>
  <c r="I102" i="3"/>
  <c r="H102" i="3" s="1"/>
  <c r="J102" i="3" s="1"/>
  <c r="I86" i="3"/>
  <c r="H86" i="3" s="1"/>
  <c r="J86" i="3" s="1"/>
  <c r="I70" i="3"/>
  <c r="H70" i="3" s="1"/>
  <c r="J70" i="3" s="1"/>
  <c r="I54" i="3"/>
  <c r="H54" i="3" s="1"/>
  <c r="J54" i="3" s="1"/>
  <c r="I38" i="3"/>
  <c r="H38" i="3" s="1"/>
  <c r="J38" i="3" s="1"/>
  <c r="I22" i="3"/>
  <c r="H22" i="3" s="1"/>
  <c r="J22" i="3" s="1"/>
  <c r="I261" i="3"/>
  <c r="H261" i="3" s="1"/>
  <c r="J261" i="3" s="1"/>
  <c r="I245" i="3"/>
  <c r="H245" i="3" s="1"/>
  <c r="J245" i="3" s="1"/>
  <c r="I229" i="3"/>
  <c r="H229" i="3" s="1"/>
  <c r="J229" i="3" s="1"/>
  <c r="I213" i="3"/>
  <c r="H213" i="3" s="1"/>
  <c r="J213" i="3" s="1"/>
  <c r="I197" i="3"/>
  <c r="H197" i="3" s="1"/>
  <c r="J197" i="3" s="1"/>
  <c r="I181" i="3"/>
  <c r="H181" i="3" s="1"/>
  <c r="J181" i="3" s="1"/>
  <c r="I165" i="3"/>
  <c r="H165" i="3" s="1"/>
  <c r="J165" i="3" s="1"/>
  <c r="I149" i="3"/>
  <c r="H149" i="3" s="1"/>
  <c r="J149" i="3" s="1"/>
  <c r="I133" i="3"/>
  <c r="H133" i="3" s="1"/>
  <c r="J133" i="3" s="1"/>
  <c r="I117" i="3"/>
  <c r="H117" i="3" s="1"/>
  <c r="J117" i="3" s="1"/>
  <c r="I101" i="3"/>
  <c r="H101" i="3" s="1"/>
  <c r="J101" i="3" s="1"/>
  <c r="I85" i="3"/>
  <c r="H85" i="3" s="1"/>
  <c r="J85" i="3" s="1"/>
  <c r="I69" i="3"/>
  <c r="H69" i="3" s="1"/>
  <c r="J69" i="3" s="1"/>
  <c r="I53" i="3"/>
  <c r="H53" i="3" s="1"/>
  <c r="J53" i="3" s="1"/>
  <c r="I37" i="3"/>
  <c r="H37" i="3" s="1"/>
  <c r="J37" i="3" s="1"/>
  <c r="A21" i="3"/>
  <c r="B21" i="3"/>
  <c r="J201" i="3"/>
  <c r="J147" i="3"/>
  <c r="J28" i="3"/>
  <c r="J240" i="3"/>
  <c r="J208" i="3"/>
  <c r="J231" i="3"/>
  <c r="J129" i="3"/>
  <c r="J19" i="3"/>
  <c r="K21" i="3"/>
  <c r="B247" i="3" l="1"/>
  <c r="B80" i="3"/>
  <c r="B144" i="3"/>
  <c r="A260" i="3"/>
  <c r="C260" i="3" s="1"/>
  <c r="D260" i="3" s="1"/>
  <c r="A194" i="3"/>
  <c r="C194" i="3" s="1"/>
  <c r="D194" i="3" s="1"/>
  <c r="A28" i="3"/>
  <c r="C28" i="3" s="1"/>
  <c r="D28" i="3" s="1"/>
  <c r="B176" i="3"/>
  <c r="B199" i="3"/>
  <c r="A180" i="3"/>
  <c r="C180" i="3" s="1"/>
  <c r="D180" i="3" s="1"/>
  <c r="A83" i="3"/>
  <c r="C83" i="3" s="1"/>
  <c r="D83" i="3" s="1"/>
  <c r="A251" i="3"/>
  <c r="C251" i="3" s="1"/>
  <c r="D251" i="3" s="1"/>
  <c r="B120" i="3"/>
  <c r="A98" i="3"/>
  <c r="C98" i="3" s="1"/>
  <c r="D98" i="3" s="1"/>
  <c r="A228" i="3"/>
  <c r="C228" i="3" s="1"/>
  <c r="D228" i="3" s="1"/>
  <c r="A131" i="3"/>
  <c r="C131" i="3" s="1"/>
  <c r="D131" i="3" s="1"/>
  <c r="A96" i="3"/>
  <c r="C96" i="3" s="1"/>
  <c r="D96" i="3" s="1"/>
  <c r="B96" i="3"/>
  <c r="A88" i="3"/>
  <c r="C88" i="3" s="1"/>
  <c r="D88" i="3" s="1"/>
  <c r="B88" i="3"/>
  <c r="A160" i="3"/>
  <c r="C160" i="3" s="1"/>
  <c r="D160" i="3" s="1"/>
  <c r="B160" i="3"/>
  <c r="A48" i="3"/>
  <c r="C48" i="3" s="1"/>
  <c r="D48" i="3" s="1"/>
  <c r="B48" i="3"/>
  <c r="A236" i="3"/>
  <c r="C236" i="3" s="1"/>
  <c r="D236" i="3" s="1"/>
  <c r="B236" i="3"/>
  <c r="B147" i="3"/>
  <c r="A147" i="3"/>
  <c r="C147" i="3" s="1"/>
  <c r="D147" i="3" s="1"/>
  <c r="A267" i="3"/>
  <c r="C267" i="3" s="1"/>
  <c r="D267" i="3" s="1"/>
  <c r="B267" i="3"/>
  <c r="B104" i="3"/>
  <c r="A104" i="3"/>
  <c r="C104" i="3" s="1"/>
  <c r="D104" i="3" s="1"/>
  <c r="A200" i="3"/>
  <c r="C200" i="3" s="1"/>
  <c r="D200" i="3" s="1"/>
  <c r="B200" i="3"/>
  <c r="B99" i="3"/>
  <c r="A99" i="3"/>
  <c r="C99" i="3" s="1"/>
  <c r="D99" i="3" s="1"/>
  <c r="B164" i="3"/>
  <c r="A164" i="3"/>
  <c r="C164" i="3" s="1"/>
  <c r="D164" i="3" s="1"/>
  <c r="A209" i="3"/>
  <c r="C209" i="3" s="1"/>
  <c r="D209" i="3" s="1"/>
  <c r="B209" i="3"/>
  <c r="B219" i="3"/>
  <c r="A219" i="3"/>
  <c r="C219" i="3" s="1"/>
  <c r="D219" i="3" s="1"/>
  <c r="B156" i="3"/>
  <c r="A156" i="3"/>
  <c r="C156" i="3" s="1"/>
  <c r="D156" i="3" s="1"/>
  <c r="B184" i="3"/>
  <c r="A184" i="3"/>
  <c r="C184" i="3" s="1"/>
  <c r="D184" i="3" s="1"/>
  <c r="B82" i="3"/>
  <c r="A82" i="3"/>
  <c r="C82" i="3" s="1"/>
  <c r="D82" i="3" s="1"/>
  <c r="A24" i="3"/>
  <c r="C24" i="3" s="1"/>
  <c r="D24" i="3" s="1"/>
  <c r="B24" i="3"/>
  <c r="B108" i="3"/>
  <c r="A108" i="3"/>
  <c r="C108" i="3" s="1"/>
  <c r="D108" i="3" s="1"/>
  <c r="A240" i="3"/>
  <c r="C240" i="3" s="1"/>
  <c r="D240" i="3" s="1"/>
  <c r="B240" i="3"/>
  <c r="A248" i="3"/>
  <c r="C248" i="3" s="1"/>
  <c r="D248" i="3" s="1"/>
  <c r="B248" i="3"/>
  <c r="A19" i="3"/>
  <c r="C19" i="3" s="1"/>
  <c r="D19" i="3" s="1"/>
  <c r="B19" i="3"/>
  <c r="B124" i="3"/>
  <c r="A124" i="3"/>
  <c r="C124" i="3" s="1"/>
  <c r="D124" i="3" s="1"/>
  <c r="B243" i="3"/>
  <c r="A243" i="3"/>
  <c r="C243" i="3" s="1"/>
  <c r="D243" i="3" s="1"/>
  <c r="A208" i="3"/>
  <c r="C208" i="3" s="1"/>
  <c r="D208" i="3" s="1"/>
  <c r="B208" i="3"/>
  <c r="B146" i="3"/>
  <c r="A146" i="3"/>
  <c r="C146" i="3" s="1"/>
  <c r="D146" i="3" s="1"/>
  <c r="A203" i="3"/>
  <c r="C203" i="3" s="1"/>
  <c r="D203" i="3" s="1"/>
  <c r="B203" i="3"/>
  <c r="A172" i="3"/>
  <c r="C172" i="3" s="1"/>
  <c r="D172" i="3" s="1"/>
  <c r="B172" i="3"/>
  <c r="A116" i="3"/>
  <c r="C116" i="3" s="1"/>
  <c r="D116" i="3" s="1"/>
  <c r="B116" i="3"/>
  <c r="A195" i="3"/>
  <c r="C195" i="3" s="1"/>
  <c r="D195" i="3" s="1"/>
  <c r="B195" i="3"/>
  <c r="B92" i="3"/>
  <c r="A92" i="3"/>
  <c r="C92" i="3" s="1"/>
  <c r="D92" i="3" s="1"/>
  <c r="A263" i="3"/>
  <c r="C263" i="3" s="1"/>
  <c r="D263" i="3" s="1"/>
  <c r="B263" i="3"/>
  <c r="B112" i="3"/>
  <c r="A112" i="3"/>
  <c r="C112" i="3" s="1"/>
  <c r="D112" i="3" s="1"/>
  <c r="A81" i="3"/>
  <c r="C81" i="3" s="1"/>
  <c r="D81" i="3" s="1"/>
  <c r="B81" i="3"/>
  <c r="A162" i="3"/>
  <c r="C162" i="3" s="1"/>
  <c r="D162" i="3" s="1"/>
  <c r="B162" i="3"/>
  <c r="B211" i="3"/>
  <c r="A211" i="3"/>
  <c r="C211" i="3" s="1"/>
  <c r="D211" i="3" s="1"/>
  <c r="B44" i="3"/>
  <c r="A44" i="3"/>
  <c r="C44" i="3" s="1"/>
  <c r="D44" i="3" s="1"/>
  <c r="B188" i="3"/>
  <c r="A188" i="3"/>
  <c r="C188" i="3" s="1"/>
  <c r="D188" i="3" s="1"/>
  <c r="A148" i="3"/>
  <c r="C148" i="3" s="1"/>
  <c r="D148" i="3" s="1"/>
  <c r="B148" i="3"/>
  <c r="B17" i="3"/>
  <c r="A17" i="3"/>
  <c r="C17" i="3" s="1"/>
  <c r="D17" i="3" s="1"/>
  <c r="B216" i="3"/>
  <c r="A216" i="3"/>
  <c r="C216" i="3" s="1"/>
  <c r="D216" i="3" s="1"/>
  <c r="A34" i="3"/>
  <c r="C34" i="3" s="1"/>
  <c r="D34" i="3" s="1"/>
  <c r="B34" i="3"/>
  <c r="B244" i="3"/>
  <c r="A244" i="3"/>
  <c r="C244" i="3" s="1"/>
  <c r="D244" i="3" s="1"/>
  <c r="B145" i="3"/>
  <c r="A145" i="3"/>
  <c r="C145" i="3" s="1"/>
  <c r="D145" i="3" s="1"/>
  <c r="B227" i="3"/>
  <c r="A227" i="3"/>
  <c r="C227" i="3" s="1"/>
  <c r="D227" i="3" s="1"/>
  <c r="A60" i="3"/>
  <c r="C60" i="3" s="1"/>
  <c r="D60" i="3" s="1"/>
  <c r="B60" i="3"/>
  <c r="A252" i="3"/>
  <c r="C252" i="3" s="1"/>
  <c r="D252" i="3" s="1"/>
  <c r="B252" i="3"/>
  <c r="B196" i="3"/>
  <c r="A196" i="3"/>
  <c r="C196" i="3" s="1"/>
  <c r="D196" i="3" s="1"/>
  <c r="B18" i="3"/>
  <c r="A18" i="3"/>
  <c r="C18" i="3" s="1"/>
  <c r="D18" i="3" s="1"/>
  <c r="B235" i="3"/>
  <c r="A235" i="3"/>
  <c r="C235" i="3" s="1"/>
  <c r="D235" i="3" s="1"/>
  <c r="A220" i="3"/>
  <c r="C220" i="3" s="1"/>
  <c r="D220" i="3" s="1"/>
  <c r="B220" i="3"/>
  <c r="A264" i="3"/>
  <c r="C264" i="3" s="1"/>
  <c r="D264" i="3" s="1"/>
  <c r="B264" i="3"/>
  <c r="B35" i="3"/>
  <c r="A35" i="3"/>
  <c r="C35" i="3" s="1"/>
  <c r="D35" i="3" s="1"/>
  <c r="B56" i="3"/>
  <c r="A56" i="3"/>
  <c r="C56" i="3" s="1"/>
  <c r="D56" i="3" s="1"/>
  <c r="B232" i="3"/>
  <c r="A232" i="3"/>
  <c r="C232" i="3" s="1"/>
  <c r="D232" i="3" s="1"/>
  <c r="B258" i="3"/>
  <c r="A258" i="3"/>
  <c r="C258" i="3" s="1"/>
  <c r="D258" i="3" s="1"/>
  <c r="A231" i="3"/>
  <c r="C231" i="3" s="1"/>
  <c r="D231" i="3" s="1"/>
  <c r="B231" i="3"/>
  <c r="A152" i="3"/>
  <c r="C152" i="3" s="1"/>
  <c r="D152" i="3" s="1"/>
  <c r="B152" i="3"/>
  <c r="A212" i="3"/>
  <c r="C212" i="3" s="1"/>
  <c r="D212" i="3" s="1"/>
  <c r="B212" i="3"/>
  <c r="A259" i="3"/>
  <c r="C259" i="3" s="1"/>
  <c r="D259" i="3" s="1"/>
  <c r="B259" i="3"/>
  <c r="A210" i="3"/>
  <c r="C210" i="3" s="1"/>
  <c r="D210" i="3" s="1"/>
  <c r="B210" i="3"/>
  <c r="B76" i="3"/>
  <c r="A76" i="3"/>
  <c r="C76" i="3" s="1"/>
  <c r="D76" i="3" s="1"/>
  <c r="B15" i="3"/>
  <c r="A15" i="3"/>
  <c r="C15" i="3" s="1"/>
  <c r="D15" i="3" s="1"/>
  <c r="B260" i="3"/>
  <c r="B251" i="3"/>
  <c r="B98" i="3"/>
  <c r="B83" i="3"/>
  <c r="B131" i="3"/>
  <c r="A144" i="3"/>
  <c r="C144" i="3" s="1"/>
  <c r="D144" i="3" s="1"/>
  <c r="A120" i="3"/>
  <c r="C120" i="3" s="1"/>
  <c r="D120" i="3" s="1"/>
  <c r="A80" i="3"/>
  <c r="C80" i="3" s="1"/>
  <c r="D80" i="3" s="1"/>
  <c r="A176" i="3"/>
  <c r="C176" i="3" s="1"/>
  <c r="D176" i="3" s="1"/>
  <c r="A199" i="3"/>
  <c r="C199" i="3" s="1"/>
  <c r="D199" i="3" s="1"/>
  <c r="A247" i="3"/>
  <c r="C247" i="3" s="1"/>
  <c r="D247" i="3" s="1"/>
  <c r="B28" i="3"/>
  <c r="B228" i="3"/>
  <c r="B194" i="3"/>
  <c r="B180" i="3"/>
  <c r="A49" i="3"/>
  <c r="C49" i="3" s="1"/>
  <c r="D49" i="3" s="1"/>
  <c r="B49" i="3"/>
  <c r="B50" i="3"/>
  <c r="A50" i="3"/>
  <c r="C50" i="3" s="1"/>
  <c r="D50" i="3" s="1"/>
  <c r="A51" i="3"/>
  <c r="C51" i="3" s="1"/>
  <c r="D51" i="3" s="1"/>
  <c r="B51" i="3"/>
  <c r="A223" i="3"/>
  <c r="C223" i="3" s="1"/>
  <c r="D223" i="3" s="1"/>
  <c r="B223" i="3"/>
  <c r="B36" i="3"/>
  <c r="A36" i="3"/>
  <c r="C36" i="3" s="1"/>
  <c r="D36" i="3" s="1"/>
  <c r="B100" i="3"/>
  <c r="A100" i="3"/>
  <c r="C100" i="3" s="1"/>
  <c r="D100" i="3" s="1"/>
  <c r="A128" i="3"/>
  <c r="C128" i="3" s="1"/>
  <c r="D128" i="3" s="1"/>
  <c r="B128" i="3"/>
  <c r="A113" i="3"/>
  <c r="C113" i="3" s="1"/>
  <c r="D113" i="3" s="1"/>
  <c r="B113" i="3"/>
  <c r="A114" i="3"/>
  <c r="C114" i="3" s="1"/>
  <c r="D114" i="3" s="1"/>
  <c r="B114" i="3"/>
  <c r="B115" i="3"/>
  <c r="A115" i="3"/>
  <c r="C115" i="3" s="1"/>
  <c r="D115" i="3" s="1"/>
  <c r="B239" i="3"/>
  <c r="A239" i="3"/>
  <c r="C239" i="3" s="1"/>
  <c r="D239" i="3" s="1"/>
  <c r="A52" i="3"/>
  <c r="C52" i="3" s="1"/>
  <c r="D52" i="3" s="1"/>
  <c r="B52" i="3"/>
  <c r="A140" i="3"/>
  <c r="C140" i="3" s="1"/>
  <c r="D140" i="3" s="1"/>
  <c r="B140" i="3"/>
  <c r="B192" i="3"/>
  <c r="A192" i="3"/>
  <c r="C192" i="3" s="1"/>
  <c r="D192" i="3" s="1"/>
  <c r="A177" i="3"/>
  <c r="C177" i="3" s="1"/>
  <c r="D177" i="3" s="1"/>
  <c r="B177" i="3"/>
  <c r="B178" i="3"/>
  <c r="A178" i="3"/>
  <c r="C178" i="3" s="1"/>
  <c r="D178" i="3" s="1"/>
  <c r="A179" i="3"/>
  <c r="C179" i="3" s="1"/>
  <c r="D179" i="3" s="1"/>
  <c r="B179" i="3"/>
  <c r="A255" i="3"/>
  <c r="C255" i="3" s="1"/>
  <c r="D255" i="3" s="1"/>
  <c r="B255" i="3"/>
  <c r="B68" i="3"/>
  <c r="A68" i="3"/>
  <c r="C68" i="3" s="1"/>
  <c r="D68" i="3" s="1"/>
  <c r="B204" i="3"/>
  <c r="A204" i="3"/>
  <c r="C204" i="3" s="1"/>
  <c r="D204" i="3" s="1"/>
  <c r="A256" i="3"/>
  <c r="C256" i="3" s="1"/>
  <c r="D256" i="3" s="1"/>
  <c r="B256" i="3"/>
  <c r="B241" i="3"/>
  <c r="A241" i="3"/>
  <c r="C241" i="3" s="1"/>
  <c r="D241" i="3" s="1"/>
  <c r="A242" i="3"/>
  <c r="C242" i="3" s="1"/>
  <c r="D242" i="3" s="1"/>
  <c r="B242" i="3"/>
  <c r="B207" i="3"/>
  <c r="A207" i="3"/>
  <c r="C207" i="3" s="1"/>
  <c r="D207" i="3" s="1"/>
  <c r="A20" i="3"/>
  <c r="C20" i="3" s="1"/>
  <c r="D20" i="3" s="1"/>
  <c r="B20" i="3"/>
  <c r="A84" i="3"/>
  <c r="C84" i="3" s="1"/>
  <c r="D84" i="3" s="1"/>
  <c r="B84" i="3"/>
  <c r="A268" i="3"/>
  <c r="C268" i="3" s="1"/>
  <c r="D268" i="3" s="1"/>
  <c r="B268" i="3"/>
  <c r="A132" i="3"/>
  <c r="C132" i="3" s="1"/>
  <c r="D132" i="3" s="1"/>
  <c r="B132" i="3"/>
  <c r="B53" i="3"/>
  <c r="A53" i="3"/>
  <c r="C53" i="3" s="1"/>
  <c r="D53" i="3" s="1"/>
  <c r="B117" i="3"/>
  <c r="A117" i="3"/>
  <c r="C117" i="3" s="1"/>
  <c r="D117" i="3" s="1"/>
  <c r="B181" i="3"/>
  <c r="A181" i="3"/>
  <c r="C181" i="3" s="1"/>
  <c r="D181" i="3" s="1"/>
  <c r="B245" i="3"/>
  <c r="A245" i="3"/>
  <c r="C245" i="3" s="1"/>
  <c r="D245" i="3" s="1"/>
  <c r="A54" i="3"/>
  <c r="C54" i="3" s="1"/>
  <c r="D54" i="3" s="1"/>
  <c r="B54" i="3"/>
  <c r="A118" i="3"/>
  <c r="C118" i="3" s="1"/>
  <c r="D118" i="3" s="1"/>
  <c r="B118" i="3"/>
  <c r="A182" i="3"/>
  <c r="C182" i="3" s="1"/>
  <c r="D182" i="3" s="1"/>
  <c r="B182" i="3"/>
  <c r="A246" i="3"/>
  <c r="C246" i="3" s="1"/>
  <c r="D246" i="3" s="1"/>
  <c r="B246" i="3"/>
  <c r="A55" i="3"/>
  <c r="C55" i="3" s="1"/>
  <c r="D55" i="3" s="1"/>
  <c r="B55" i="3"/>
  <c r="A119" i="3"/>
  <c r="C119" i="3" s="1"/>
  <c r="D119" i="3" s="1"/>
  <c r="B119" i="3"/>
  <c r="A183" i="3"/>
  <c r="C183" i="3" s="1"/>
  <c r="D183" i="3" s="1"/>
  <c r="B183" i="3"/>
  <c r="B73" i="3"/>
  <c r="A73" i="3"/>
  <c r="C73" i="3" s="1"/>
  <c r="D73" i="3" s="1"/>
  <c r="B137" i="3"/>
  <c r="A137" i="3"/>
  <c r="C137" i="3" s="1"/>
  <c r="D137" i="3" s="1"/>
  <c r="B201" i="3"/>
  <c r="A201" i="3"/>
  <c r="C201" i="3" s="1"/>
  <c r="D201" i="3" s="1"/>
  <c r="A265" i="3"/>
  <c r="C265" i="3" s="1"/>
  <c r="D265" i="3" s="1"/>
  <c r="B265" i="3"/>
  <c r="B74" i="3"/>
  <c r="A74" i="3"/>
  <c r="C74" i="3" s="1"/>
  <c r="D74" i="3" s="1"/>
  <c r="B138" i="3"/>
  <c r="A138" i="3"/>
  <c r="C138" i="3" s="1"/>
  <c r="D138" i="3" s="1"/>
  <c r="B202" i="3"/>
  <c r="A202" i="3"/>
  <c r="C202" i="3" s="1"/>
  <c r="D202" i="3" s="1"/>
  <c r="A266" i="3"/>
  <c r="C266" i="3" s="1"/>
  <c r="D266" i="3" s="1"/>
  <c r="B266" i="3"/>
  <c r="A75" i="3"/>
  <c r="C75" i="3" s="1"/>
  <c r="D75" i="3" s="1"/>
  <c r="B75" i="3"/>
  <c r="A139" i="3"/>
  <c r="C139" i="3" s="1"/>
  <c r="D139" i="3" s="1"/>
  <c r="B139" i="3"/>
  <c r="A16" i="3"/>
  <c r="C16" i="3" s="1"/>
  <c r="D16" i="3" s="1"/>
  <c r="B16" i="3"/>
  <c r="B77" i="3"/>
  <c r="A77" i="3"/>
  <c r="C77" i="3" s="1"/>
  <c r="D77" i="3" s="1"/>
  <c r="B141" i="3"/>
  <c r="A141" i="3"/>
  <c r="C141" i="3" s="1"/>
  <c r="D141" i="3" s="1"/>
  <c r="B205" i="3"/>
  <c r="A205" i="3"/>
  <c r="C205" i="3" s="1"/>
  <c r="D205" i="3" s="1"/>
  <c r="B269" i="3"/>
  <c r="A269" i="3"/>
  <c r="C269" i="3" s="1"/>
  <c r="D269" i="3" s="1"/>
  <c r="A78" i="3"/>
  <c r="C78" i="3" s="1"/>
  <c r="D78" i="3" s="1"/>
  <c r="B78" i="3"/>
  <c r="A142" i="3"/>
  <c r="C142" i="3" s="1"/>
  <c r="D142" i="3" s="1"/>
  <c r="B142" i="3"/>
  <c r="A206" i="3"/>
  <c r="C206" i="3" s="1"/>
  <c r="D206" i="3" s="1"/>
  <c r="B206" i="3"/>
  <c r="A270" i="3"/>
  <c r="C270" i="3" s="1"/>
  <c r="D270" i="3" s="1"/>
  <c r="B270" i="3"/>
  <c r="A79" i="3"/>
  <c r="C79" i="3" s="1"/>
  <c r="D79" i="3" s="1"/>
  <c r="B79" i="3"/>
  <c r="A143" i="3"/>
  <c r="C143" i="3" s="1"/>
  <c r="D143" i="3" s="1"/>
  <c r="B143" i="3"/>
  <c r="A69" i="3"/>
  <c r="C69" i="3" s="1"/>
  <c r="D69" i="3" s="1"/>
  <c r="B69" i="3"/>
  <c r="A133" i="3"/>
  <c r="C133" i="3" s="1"/>
  <c r="D133" i="3" s="1"/>
  <c r="B133" i="3"/>
  <c r="A197" i="3"/>
  <c r="C197" i="3" s="1"/>
  <c r="D197" i="3" s="1"/>
  <c r="B197" i="3"/>
  <c r="A261" i="3"/>
  <c r="C261" i="3" s="1"/>
  <c r="D261" i="3" s="1"/>
  <c r="B261" i="3"/>
  <c r="B70" i="3"/>
  <c r="A70" i="3"/>
  <c r="C70" i="3" s="1"/>
  <c r="D70" i="3" s="1"/>
  <c r="B134" i="3"/>
  <c r="A134" i="3"/>
  <c r="C134" i="3" s="1"/>
  <c r="D134" i="3" s="1"/>
  <c r="B198" i="3"/>
  <c r="A198" i="3"/>
  <c r="C198" i="3" s="1"/>
  <c r="D198" i="3" s="1"/>
  <c r="B262" i="3"/>
  <c r="A262" i="3"/>
  <c r="C262" i="3" s="1"/>
  <c r="D262" i="3" s="1"/>
  <c r="B71" i="3"/>
  <c r="A71" i="3"/>
  <c r="C71" i="3" s="1"/>
  <c r="D71" i="3" s="1"/>
  <c r="B135" i="3"/>
  <c r="A135" i="3"/>
  <c r="C135" i="3" s="1"/>
  <c r="D135" i="3" s="1"/>
  <c r="A89" i="3"/>
  <c r="C89" i="3" s="1"/>
  <c r="D89" i="3" s="1"/>
  <c r="B89" i="3"/>
  <c r="A153" i="3"/>
  <c r="C153" i="3" s="1"/>
  <c r="D153" i="3" s="1"/>
  <c r="B153" i="3"/>
  <c r="A217" i="3"/>
  <c r="C217" i="3" s="1"/>
  <c r="D217" i="3" s="1"/>
  <c r="B217" i="3"/>
  <c r="A90" i="3"/>
  <c r="C90" i="3" s="1"/>
  <c r="D90" i="3" s="1"/>
  <c r="B90" i="3"/>
  <c r="B91" i="3"/>
  <c r="A91" i="3"/>
  <c r="C91" i="3" s="1"/>
  <c r="D91" i="3" s="1"/>
  <c r="B29" i="3"/>
  <c r="A29" i="3"/>
  <c r="C29" i="3" s="1"/>
  <c r="D29" i="3" s="1"/>
  <c r="B93" i="3"/>
  <c r="A93" i="3"/>
  <c r="C93" i="3" s="1"/>
  <c r="D93" i="3" s="1"/>
  <c r="B157" i="3"/>
  <c r="A157" i="3"/>
  <c r="C157" i="3" s="1"/>
  <c r="D157" i="3" s="1"/>
  <c r="B221" i="3"/>
  <c r="A221" i="3"/>
  <c r="C221" i="3" s="1"/>
  <c r="D221" i="3" s="1"/>
  <c r="A30" i="3"/>
  <c r="C30" i="3" s="1"/>
  <c r="D30" i="3" s="1"/>
  <c r="B30" i="3"/>
  <c r="B94" i="3"/>
  <c r="A94" i="3"/>
  <c r="C94" i="3" s="1"/>
  <c r="D94" i="3" s="1"/>
  <c r="B158" i="3"/>
  <c r="A158" i="3"/>
  <c r="C158" i="3" s="1"/>
  <c r="D158" i="3" s="1"/>
  <c r="B222" i="3"/>
  <c r="A222" i="3"/>
  <c r="C222" i="3" s="1"/>
  <c r="D222" i="3" s="1"/>
  <c r="B31" i="3"/>
  <c r="A31" i="3"/>
  <c r="C31" i="3" s="1"/>
  <c r="D31" i="3" s="1"/>
  <c r="B95" i="3"/>
  <c r="A95" i="3"/>
  <c r="C95" i="3" s="1"/>
  <c r="D95" i="3" s="1"/>
  <c r="B159" i="3"/>
  <c r="A159" i="3"/>
  <c r="C159" i="3" s="1"/>
  <c r="D159" i="3" s="1"/>
  <c r="B85" i="3"/>
  <c r="A85" i="3"/>
  <c r="C85" i="3" s="1"/>
  <c r="D85" i="3" s="1"/>
  <c r="B149" i="3"/>
  <c r="A149" i="3"/>
  <c r="C149" i="3" s="1"/>
  <c r="D149" i="3" s="1"/>
  <c r="B213" i="3"/>
  <c r="A213" i="3"/>
  <c r="C213" i="3" s="1"/>
  <c r="D213" i="3" s="1"/>
  <c r="A22" i="3"/>
  <c r="C22" i="3" s="1"/>
  <c r="D22" i="3" s="1"/>
  <c r="B22" i="3"/>
  <c r="A86" i="3"/>
  <c r="C86" i="3" s="1"/>
  <c r="D86" i="3" s="1"/>
  <c r="B86" i="3"/>
  <c r="A150" i="3"/>
  <c r="C150" i="3" s="1"/>
  <c r="D150" i="3" s="1"/>
  <c r="B150" i="3"/>
  <c r="A214" i="3"/>
  <c r="C214" i="3" s="1"/>
  <c r="D214" i="3" s="1"/>
  <c r="B214" i="3"/>
  <c r="A23" i="3"/>
  <c r="C23" i="3" s="1"/>
  <c r="D23" i="3" s="1"/>
  <c r="B23" i="3"/>
  <c r="A87" i="3"/>
  <c r="C87" i="3" s="1"/>
  <c r="D87" i="3" s="1"/>
  <c r="B87" i="3"/>
  <c r="A151" i="3"/>
  <c r="C151" i="3" s="1"/>
  <c r="D151" i="3" s="1"/>
  <c r="B151" i="3"/>
  <c r="A41" i="3"/>
  <c r="C41" i="3" s="1"/>
  <c r="D41" i="3" s="1"/>
  <c r="B41" i="3"/>
  <c r="A105" i="3"/>
  <c r="C105" i="3" s="1"/>
  <c r="D105" i="3" s="1"/>
  <c r="B105" i="3"/>
  <c r="B169" i="3"/>
  <c r="A169" i="3"/>
  <c r="C169" i="3" s="1"/>
  <c r="D169" i="3" s="1"/>
  <c r="B233" i="3"/>
  <c r="A233" i="3"/>
  <c r="C233" i="3" s="1"/>
  <c r="D233" i="3" s="1"/>
  <c r="B42" i="3"/>
  <c r="A42" i="3"/>
  <c r="C42" i="3" s="1"/>
  <c r="D42" i="3" s="1"/>
  <c r="B106" i="3"/>
  <c r="A106" i="3"/>
  <c r="C106" i="3" s="1"/>
  <c r="D106" i="3" s="1"/>
  <c r="A170" i="3"/>
  <c r="C170" i="3" s="1"/>
  <c r="D170" i="3" s="1"/>
  <c r="B170" i="3"/>
  <c r="B234" i="3"/>
  <c r="A234" i="3"/>
  <c r="C234" i="3" s="1"/>
  <c r="D234" i="3" s="1"/>
  <c r="B43" i="3"/>
  <c r="A43" i="3"/>
  <c r="C43" i="3" s="1"/>
  <c r="D43" i="3" s="1"/>
  <c r="A107" i="3"/>
  <c r="C107" i="3" s="1"/>
  <c r="D107" i="3" s="1"/>
  <c r="B107" i="3"/>
  <c r="A171" i="3"/>
  <c r="C171" i="3" s="1"/>
  <c r="D171" i="3" s="1"/>
  <c r="B171" i="3"/>
  <c r="B45" i="3"/>
  <c r="A45" i="3"/>
  <c r="C45" i="3" s="1"/>
  <c r="D45" i="3" s="1"/>
  <c r="B109" i="3"/>
  <c r="A109" i="3"/>
  <c r="C109" i="3" s="1"/>
  <c r="D109" i="3" s="1"/>
  <c r="B173" i="3"/>
  <c r="A173" i="3"/>
  <c r="C173" i="3" s="1"/>
  <c r="D173" i="3" s="1"/>
  <c r="B237" i="3"/>
  <c r="A237" i="3"/>
  <c r="C237" i="3" s="1"/>
  <c r="D237" i="3" s="1"/>
  <c r="A46" i="3"/>
  <c r="C46" i="3" s="1"/>
  <c r="D46" i="3" s="1"/>
  <c r="B46" i="3"/>
  <c r="A110" i="3"/>
  <c r="C110" i="3" s="1"/>
  <c r="D110" i="3" s="1"/>
  <c r="B110" i="3"/>
  <c r="A174" i="3"/>
  <c r="C174" i="3" s="1"/>
  <c r="D174" i="3" s="1"/>
  <c r="B174" i="3"/>
  <c r="A238" i="3"/>
  <c r="C238" i="3" s="1"/>
  <c r="D238" i="3" s="1"/>
  <c r="B238" i="3"/>
  <c r="A47" i="3"/>
  <c r="C47" i="3" s="1"/>
  <c r="D47" i="3" s="1"/>
  <c r="B47" i="3"/>
  <c r="A111" i="3"/>
  <c r="C111" i="3" s="1"/>
  <c r="D111" i="3" s="1"/>
  <c r="B111" i="3"/>
  <c r="A175" i="3"/>
  <c r="C175" i="3" s="1"/>
  <c r="D175" i="3" s="1"/>
  <c r="B175" i="3"/>
  <c r="A37" i="3"/>
  <c r="C37" i="3" s="1"/>
  <c r="D37" i="3" s="1"/>
  <c r="B37" i="3"/>
  <c r="A101" i="3"/>
  <c r="C101" i="3" s="1"/>
  <c r="D101" i="3" s="1"/>
  <c r="B101" i="3"/>
  <c r="A165" i="3"/>
  <c r="C165" i="3" s="1"/>
  <c r="D165" i="3" s="1"/>
  <c r="B165" i="3"/>
  <c r="A229" i="3"/>
  <c r="C229" i="3" s="1"/>
  <c r="D229" i="3" s="1"/>
  <c r="B229" i="3"/>
  <c r="B38" i="3"/>
  <c r="A38" i="3"/>
  <c r="C38" i="3" s="1"/>
  <c r="D38" i="3" s="1"/>
  <c r="B102" i="3"/>
  <c r="A102" i="3"/>
  <c r="C102" i="3" s="1"/>
  <c r="D102" i="3" s="1"/>
  <c r="B166" i="3"/>
  <c r="A166" i="3"/>
  <c r="C166" i="3" s="1"/>
  <c r="D166" i="3" s="1"/>
  <c r="B230" i="3"/>
  <c r="A230" i="3"/>
  <c r="C230" i="3" s="1"/>
  <c r="D230" i="3" s="1"/>
  <c r="B39" i="3"/>
  <c r="A39" i="3"/>
  <c r="C39" i="3" s="1"/>
  <c r="D39" i="3" s="1"/>
  <c r="B103" i="3"/>
  <c r="A103" i="3"/>
  <c r="C103" i="3" s="1"/>
  <c r="D103" i="3" s="1"/>
  <c r="B167" i="3"/>
  <c r="A167" i="3"/>
  <c r="C167" i="3" s="1"/>
  <c r="D167" i="3" s="1"/>
  <c r="A57" i="3"/>
  <c r="C57" i="3" s="1"/>
  <c r="D57" i="3" s="1"/>
  <c r="B57" i="3"/>
  <c r="A185" i="3"/>
  <c r="C185" i="3" s="1"/>
  <c r="D185" i="3" s="1"/>
  <c r="B185" i="3"/>
  <c r="B249" i="3"/>
  <c r="A249" i="3"/>
  <c r="C249" i="3" s="1"/>
  <c r="D249" i="3" s="1"/>
  <c r="A122" i="3"/>
  <c r="C122" i="3" s="1"/>
  <c r="D122" i="3" s="1"/>
  <c r="B122" i="3"/>
  <c r="A186" i="3"/>
  <c r="C186" i="3" s="1"/>
  <c r="D186" i="3" s="1"/>
  <c r="B186" i="3"/>
  <c r="B123" i="3"/>
  <c r="A123" i="3"/>
  <c r="C123" i="3" s="1"/>
  <c r="D123" i="3" s="1"/>
  <c r="B187" i="3"/>
  <c r="A187" i="3"/>
  <c r="C187" i="3" s="1"/>
  <c r="D187" i="3" s="1"/>
  <c r="B61" i="3"/>
  <c r="A61" i="3"/>
  <c r="C61" i="3" s="1"/>
  <c r="D61" i="3" s="1"/>
  <c r="B125" i="3"/>
  <c r="A125" i="3"/>
  <c r="C125" i="3" s="1"/>
  <c r="D125" i="3" s="1"/>
  <c r="B189" i="3"/>
  <c r="A189" i="3"/>
  <c r="C189" i="3" s="1"/>
  <c r="D189" i="3" s="1"/>
  <c r="B253" i="3"/>
  <c r="A253" i="3"/>
  <c r="C253" i="3" s="1"/>
  <c r="D253" i="3" s="1"/>
  <c r="B62" i="3"/>
  <c r="A62" i="3"/>
  <c r="C62" i="3" s="1"/>
  <c r="D62" i="3" s="1"/>
  <c r="B126" i="3"/>
  <c r="A126" i="3"/>
  <c r="C126" i="3" s="1"/>
  <c r="D126" i="3" s="1"/>
  <c r="B190" i="3"/>
  <c r="A190" i="3"/>
  <c r="C190" i="3" s="1"/>
  <c r="D190" i="3" s="1"/>
  <c r="B254" i="3"/>
  <c r="A254" i="3"/>
  <c r="C254" i="3" s="1"/>
  <c r="D254" i="3" s="1"/>
  <c r="B63" i="3"/>
  <c r="A63" i="3"/>
  <c r="C63" i="3" s="1"/>
  <c r="D63" i="3" s="1"/>
  <c r="B127" i="3"/>
  <c r="A127" i="3"/>
  <c r="C127" i="3" s="1"/>
  <c r="D127" i="3" s="1"/>
  <c r="B191" i="3"/>
  <c r="A191" i="3"/>
  <c r="C191" i="3" s="1"/>
  <c r="D191" i="3" s="1"/>
  <c r="A65" i="3"/>
  <c r="C65" i="3" s="1"/>
  <c r="D65" i="3" s="1"/>
  <c r="A224" i="3"/>
  <c r="C224" i="3" s="1"/>
  <c r="D224" i="3" s="1"/>
  <c r="A168" i="3"/>
  <c r="C168" i="3" s="1"/>
  <c r="D168" i="3" s="1"/>
  <c r="A225" i="3"/>
  <c r="C225" i="3" s="1"/>
  <c r="D225" i="3" s="1"/>
  <c r="A121" i="3"/>
  <c r="C121" i="3" s="1"/>
  <c r="D121" i="3" s="1"/>
  <c r="A218" i="3"/>
  <c r="C218" i="3" s="1"/>
  <c r="D218" i="3" s="1"/>
  <c r="B72" i="3"/>
  <c r="A129" i="3"/>
  <c r="C129" i="3" s="1"/>
  <c r="D129" i="3" s="1"/>
  <c r="A25" i="3"/>
  <c r="C25" i="3" s="1"/>
  <c r="D25" i="3" s="1"/>
  <c r="A40" i="3"/>
  <c r="C40" i="3" s="1"/>
  <c r="D40" i="3" s="1"/>
  <c r="B32" i="3"/>
  <c r="B33" i="3"/>
  <c r="B215" i="3"/>
  <c r="B257" i="3"/>
  <c r="A66" i="3"/>
  <c r="C66" i="3" s="1"/>
  <c r="D66" i="3" s="1"/>
  <c r="B250" i="3"/>
  <c r="A155" i="3"/>
  <c r="C155" i="3" s="1"/>
  <c r="D155" i="3" s="1"/>
  <c r="B155" i="3"/>
  <c r="B226" i="3"/>
  <c r="A136" i="3"/>
  <c r="C136" i="3" s="1"/>
  <c r="D136" i="3" s="1"/>
  <c r="B154" i="3"/>
  <c r="A163" i="3"/>
  <c r="C163" i="3" s="1"/>
  <c r="D163" i="3" s="1"/>
  <c r="A130" i="3"/>
  <c r="C130" i="3" s="1"/>
  <c r="D130" i="3" s="1"/>
  <c r="B64" i="3"/>
  <c r="B58" i="3"/>
  <c r="A67" i="3"/>
  <c r="C67" i="3" s="1"/>
  <c r="D67" i="3" s="1"/>
  <c r="B27" i="3"/>
  <c r="A26" i="3"/>
  <c r="C26" i="3" s="1"/>
  <c r="D26" i="3" s="1"/>
  <c r="B161" i="3"/>
  <c r="A193" i="3"/>
  <c r="C193" i="3" s="1"/>
  <c r="D193" i="3" s="1"/>
  <c r="A59" i="3"/>
  <c r="C59" i="3" s="1"/>
  <c r="D59" i="3" s="1"/>
  <c r="B97" i="3"/>
  <c r="A33" i="3"/>
  <c r="C33" i="3" s="1"/>
  <c r="D33" i="3" s="1"/>
  <c r="B40" i="3"/>
  <c r="B163" i="3"/>
  <c r="B136" i="3"/>
  <c r="A226" i="3"/>
  <c r="C226" i="3" s="1"/>
  <c r="D226" i="3" s="1"/>
  <c r="B66" i="3"/>
  <c r="A161" i="3"/>
  <c r="C161" i="3" s="1"/>
  <c r="D161" i="3" s="1"/>
  <c r="A27" i="3"/>
  <c r="C27" i="3" s="1"/>
  <c r="D27" i="3" s="1"/>
  <c r="B67" i="3"/>
  <c r="A58" i="3"/>
  <c r="C58" i="3" s="1"/>
  <c r="D58" i="3" s="1"/>
  <c r="A97" i="3"/>
  <c r="C97" i="3" s="1"/>
  <c r="D97" i="3" s="1"/>
  <c r="B193" i="3"/>
  <c r="B25" i="3"/>
  <c r="A215" i="3"/>
  <c r="C215" i="3" s="1"/>
  <c r="D215" i="3" s="1"/>
  <c r="A250" i="3"/>
  <c r="C250" i="3" s="1"/>
  <c r="D250" i="3" s="1"/>
  <c r="B26" i="3"/>
  <c r="B168" i="3"/>
  <c r="B225" i="3"/>
  <c r="A154" i="3"/>
  <c r="C154" i="3" s="1"/>
  <c r="D154" i="3" s="1"/>
  <c r="A64" i="3"/>
  <c r="C64" i="3" s="1"/>
  <c r="D64" i="3" s="1"/>
  <c r="A72" i="3"/>
  <c r="C72" i="3" s="1"/>
  <c r="D72" i="3" s="1"/>
  <c r="B218" i="3"/>
  <c r="B121" i="3"/>
  <c r="B59" i="3"/>
  <c r="A32" i="3"/>
  <c r="C32" i="3" s="1"/>
  <c r="D32" i="3" s="1"/>
  <c r="B65" i="3"/>
  <c r="B129" i="3"/>
  <c r="B130" i="3"/>
  <c r="A257" i="3"/>
  <c r="C257" i="3" s="1"/>
  <c r="D257" i="3" s="1"/>
  <c r="B224" i="3"/>
  <c r="C21" i="3"/>
  <c r="D21" i="3" s="1"/>
  <c r="K96" i="3"/>
  <c r="K74" i="3"/>
  <c r="K103" i="3"/>
  <c r="K106" i="3"/>
  <c r="K140" i="3"/>
  <c r="K262" i="3"/>
  <c r="K217" i="3"/>
  <c r="K149" i="3"/>
  <c r="K102" i="3"/>
  <c r="K108" i="3"/>
  <c r="K206" i="3"/>
  <c r="K161" i="3"/>
  <c r="K127" i="3"/>
  <c r="K267" i="3"/>
  <c r="K100" i="3"/>
  <c r="K25" i="3"/>
  <c r="K69" i="3"/>
  <c r="K47" i="3"/>
  <c r="K81" i="3"/>
  <c r="K148" i="3"/>
  <c r="K136" i="3"/>
  <c r="K160" i="3"/>
  <c r="K264" i="3"/>
  <c r="K180" i="3"/>
  <c r="K197" i="3"/>
  <c r="K249" i="3"/>
  <c r="K138" i="3"/>
  <c r="K95" i="3"/>
  <c r="K51" i="3"/>
  <c r="K105" i="3"/>
  <c r="K233" i="3"/>
  <c r="K20" i="3"/>
  <c r="K211" i="3"/>
  <c r="K50" i="3"/>
  <c r="K61" i="3"/>
  <c r="K230" i="3"/>
  <c r="K107" i="3"/>
  <c r="K16" i="3"/>
  <c r="K66" i="3"/>
  <c r="K131" i="3"/>
  <c r="K151" i="3"/>
  <c r="K225" i="3"/>
  <c r="K253" i="3"/>
  <c r="K200" i="3"/>
  <c r="K115" i="3"/>
  <c r="K67" i="3"/>
  <c r="K117" i="3"/>
  <c r="K202" i="3"/>
  <c r="K172" i="3"/>
  <c r="K260" i="3"/>
  <c r="K122" i="3"/>
  <c r="K194" i="3"/>
  <c r="K29" i="3"/>
  <c r="K143" i="3"/>
  <c r="K135" i="3"/>
  <c r="K178" i="3"/>
  <c r="K55" i="3"/>
  <c r="K258" i="3"/>
  <c r="K52" i="3"/>
  <c r="K134" i="3"/>
  <c r="K232" i="3"/>
  <c r="K23" i="3"/>
  <c r="K270" i="3"/>
  <c r="K142" i="3"/>
  <c r="K234" i="3"/>
  <c r="K265" i="3"/>
  <c r="K214" i="3"/>
  <c r="K261" i="3"/>
  <c r="K49" i="3"/>
  <c r="K73" i="3"/>
  <c r="K269" i="3"/>
  <c r="K112" i="3"/>
  <c r="K58" i="3"/>
  <c r="K192" i="3"/>
  <c r="K201" i="3"/>
  <c r="K33" i="3"/>
  <c r="K244" i="3"/>
  <c r="K22" i="3"/>
  <c r="K130" i="3"/>
  <c r="K80" i="3"/>
  <c r="K89" i="3"/>
  <c r="K145" i="3"/>
  <c r="K24" i="3"/>
  <c r="K168" i="3"/>
  <c r="K27" i="3"/>
  <c r="K82" i="3"/>
  <c r="K70" i="3"/>
  <c r="K158" i="3"/>
  <c r="K245" i="3"/>
  <c r="K199" i="3"/>
  <c r="K182" i="3"/>
  <c r="K207" i="3"/>
  <c r="K215" i="3"/>
  <c r="K174" i="3"/>
  <c r="K147" i="3"/>
  <c r="K34" i="3"/>
  <c r="K241" i="3"/>
  <c r="K92" i="3"/>
  <c r="K17" i="3"/>
  <c r="K141" i="3"/>
  <c r="K254" i="3"/>
  <c r="K155" i="3"/>
  <c r="K126" i="3"/>
  <c r="K223" i="3"/>
  <c r="K152" i="3"/>
  <c r="K60" i="3"/>
  <c r="K263" i="3"/>
  <c r="K62" i="3"/>
  <c r="K259" i="3"/>
  <c r="K19" i="3"/>
  <c r="K173" i="3"/>
  <c r="K109" i="3"/>
  <c r="K216" i="3"/>
  <c r="K243" i="3"/>
  <c r="K42" i="3"/>
  <c r="K46" i="3"/>
  <c r="K184" i="3"/>
  <c r="K219" i="3"/>
  <c r="K146" i="3"/>
  <c r="K44" i="3"/>
  <c r="K111" i="3"/>
  <c r="K78" i="3"/>
  <c r="K188" i="3"/>
  <c r="K195" i="3"/>
  <c r="K236" i="3"/>
  <c r="K193" i="3"/>
  <c r="K187" i="3"/>
  <c r="K30" i="3"/>
  <c r="K150" i="3"/>
  <c r="K165" i="3"/>
  <c r="K101" i="3"/>
  <c r="K45" i="3"/>
  <c r="K139" i="3"/>
  <c r="K132" i="3"/>
  <c r="K156" i="3"/>
  <c r="K113" i="3"/>
  <c r="K164" i="3"/>
  <c r="K251" i="3"/>
  <c r="K54" i="3"/>
  <c r="K247" i="3"/>
  <c r="K125" i="3"/>
  <c r="K246" i="3"/>
  <c r="K43" i="3"/>
  <c r="K114" i="3"/>
  <c r="K256" i="3"/>
  <c r="K157" i="3"/>
  <c r="K252" i="3"/>
  <c r="K129" i="3"/>
  <c r="K40" i="3"/>
  <c r="K153" i="3"/>
  <c r="K240" i="3"/>
  <c r="K170" i="3"/>
  <c r="K191" i="3"/>
  <c r="K48" i="3"/>
  <c r="K76" i="3"/>
  <c r="K227" i="3"/>
  <c r="K75" i="3"/>
  <c r="K31" i="3"/>
  <c r="K99" i="3"/>
  <c r="K41" i="3"/>
  <c r="K204" i="3"/>
  <c r="K124" i="3"/>
  <c r="K65" i="3"/>
  <c r="K167" i="3"/>
  <c r="K196" i="3"/>
  <c r="K179" i="3"/>
  <c r="K159" i="3"/>
  <c r="K15" i="3"/>
  <c r="K110" i="3"/>
  <c r="K120" i="3"/>
  <c r="K154" i="3"/>
  <c r="K224" i="3"/>
  <c r="K220" i="3"/>
  <c r="K205" i="3"/>
  <c r="K94" i="3"/>
  <c r="K166" i="3"/>
  <c r="K32" i="3"/>
  <c r="K57" i="3"/>
  <c r="K176" i="3"/>
  <c r="K231" i="3"/>
  <c r="K239" i="3"/>
  <c r="K221" i="3"/>
  <c r="K169" i="3"/>
  <c r="K39" i="3"/>
  <c r="K268" i="3"/>
  <c r="K86" i="3"/>
  <c r="K185" i="3"/>
  <c r="K53" i="3"/>
  <c r="K93" i="3"/>
  <c r="K226" i="3"/>
  <c r="K116" i="3"/>
  <c r="K91" i="3"/>
  <c r="K237" i="3"/>
  <c r="K190" i="3"/>
  <c r="K79" i="3"/>
  <c r="K26" i="3"/>
  <c r="K144" i="3"/>
  <c r="K88" i="3"/>
  <c r="K203" i="3"/>
  <c r="K162" i="3"/>
  <c r="K212" i="3"/>
  <c r="K36" i="3"/>
  <c r="K137" i="3"/>
  <c r="K71" i="3"/>
  <c r="K213" i="3"/>
  <c r="K63" i="3"/>
  <c r="K163" i="3"/>
  <c r="K218" i="3"/>
  <c r="K209" i="3"/>
  <c r="K28" i="3"/>
  <c r="K38" i="3"/>
  <c r="K121" i="3"/>
  <c r="K177" i="3"/>
  <c r="K171" i="3"/>
  <c r="K97" i="3"/>
  <c r="K104" i="3"/>
  <c r="K35" i="3"/>
  <c r="K255" i="3"/>
  <c r="K118" i="3"/>
  <c r="K133" i="3"/>
  <c r="K175" i="3"/>
  <c r="K186" i="3"/>
  <c r="K208" i="3"/>
  <c r="K83" i="3"/>
  <c r="K181" i="3"/>
  <c r="K198" i="3"/>
  <c r="K85" i="3"/>
  <c r="K123" i="3"/>
  <c r="K72" i="3"/>
  <c r="K242" i="3"/>
  <c r="K87" i="3"/>
  <c r="K250" i="3"/>
  <c r="K18" i="3"/>
  <c r="K98" i="3"/>
  <c r="K84" i="3"/>
  <c r="K119" i="3"/>
  <c r="K90" i="3"/>
  <c r="K229" i="3"/>
  <c r="K257" i="3"/>
  <c r="K248" i="3"/>
  <c r="K210" i="3"/>
  <c r="K68" i="3"/>
  <c r="K77" i="3"/>
  <c r="K222" i="3"/>
  <c r="K189" i="3"/>
  <c r="K128" i="3"/>
  <c r="K266" i="3"/>
  <c r="K37" i="3"/>
  <c r="K64" i="3"/>
  <c r="K235" i="3"/>
  <c r="K56" i="3"/>
  <c r="K228" i="3"/>
  <c r="K183" i="3"/>
  <c r="K238" i="3"/>
  <c r="K59" i="3"/>
  <c r="J6" i="3" l="1"/>
  <c r="E267" i="3" s="1"/>
  <c r="E246" i="3" l="1"/>
  <c r="E241" i="3"/>
  <c r="E141" i="3"/>
  <c r="E252" i="3"/>
  <c r="E113" i="3"/>
  <c r="E16" i="3"/>
  <c r="E29" i="3"/>
  <c r="E26" i="3"/>
  <c r="E86" i="3"/>
  <c r="E70" i="3"/>
  <c r="E237" i="3"/>
  <c r="E90" i="3"/>
  <c r="E83" i="3"/>
  <c r="E258" i="3"/>
  <c r="E110" i="3"/>
  <c r="E202" i="3"/>
  <c r="E124" i="3"/>
  <c r="E240" i="3"/>
  <c r="E178" i="3"/>
  <c r="E67" i="3"/>
  <c r="E33" i="3"/>
  <c r="E155" i="3"/>
  <c r="E112" i="3"/>
  <c r="E194" i="3"/>
  <c r="E197" i="3"/>
  <c r="E195" i="3"/>
  <c r="E97" i="3"/>
  <c r="E145" i="3"/>
  <c r="E15" i="3"/>
  <c r="E131" i="3"/>
  <c r="E261" i="3"/>
  <c r="E43" i="3"/>
  <c r="E161" i="3"/>
  <c r="E19" i="3"/>
  <c r="E216" i="3"/>
  <c r="E266" i="3"/>
  <c r="E62" i="3"/>
  <c r="E80" i="3"/>
  <c r="E229" i="3"/>
  <c r="E160" i="3"/>
  <c r="E180" i="3"/>
  <c r="E104" i="3"/>
  <c r="E181" i="3"/>
  <c r="E38" i="3"/>
  <c r="E142" i="3"/>
  <c r="E176" i="3"/>
  <c r="E45" i="3"/>
  <c r="E144" i="3"/>
  <c r="E151" i="3"/>
  <c r="E78" i="3"/>
  <c r="E91" i="3"/>
  <c r="E140" i="3"/>
  <c r="E111" i="3"/>
  <c r="E35" i="3"/>
  <c r="E118" i="3"/>
  <c r="E84" i="3"/>
  <c r="E72" i="3"/>
  <c r="E231" i="3"/>
  <c r="E122" i="3"/>
  <c r="E40" i="3"/>
  <c r="E134" i="3"/>
  <c r="E125" i="3"/>
  <c r="E120" i="3"/>
  <c r="E191" i="3"/>
  <c r="E238" i="3"/>
  <c r="E34" i="3"/>
  <c r="E245" i="3"/>
  <c r="E95" i="3"/>
  <c r="E147" i="3"/>
  <c r="E183" i="3"/>
  <c r="E270" i="3"/>
  <c r="E21" i="3"/>
  <c r="E47" i="3"/>
  <c r="E212" i="3"/>
  <c r="E232" i="3"/>
  <c r="E207" i="3"/>
  <c r="E149" i="3"/>
  <c r="E260" i="3"/>
  <c r="E223" i="3"/>
  <c r="E24" i="3"/>
  <c r="E71" i="3"/>
  <c r="E132" i="3"/>
  <c r="E57" i="3"/>
  <c r="E44" i="3"/>
  <c r="E127" i="3"/>
  <c r="E101" i="3"/>
  <c r="E58" i="3"/>
  <c r="E121" i="3"/>
  <c r="E41" i="3"/>
  <c r="E204" i="3"/>
  <c r="E28" i="3"/>
  <c r="E115" i="3"/>
  <c r="E239" i="3"/>
  <c r="E89" i="3"/>
  <c r="E199" i="3"/>
  <c r="E32" i="3"/>
  <c r="E139" i="3"/>
  <c r="E224" i="3"/>
  <c r="E268" i="3"/>
  <c r="E213" i="3"/>
  <c r="E27" i="3"/>
  <c r="E138" i="3"/>
  <c r="E74" i="3"/>
  <c r="E66" i="3"/>
  <c r="E164" i="3"/>
  <c r="E88" i="3"/>
  <c r="E100" i="3"/>
  <c r="E217" i="3"/>
  <c r="E137" i="3"/>
  <c r="E17" i="3"/>
  <c r="E165" i="3"/>
  <c r="E168" i="3"/>
  <c r="E189" i="3"/>
  <c r="E130" i="3"/>
  <c r="E22" i="3"/>
  <c r="E190" i="3"/>
  <c r="E114" i="3"/>
  <c r="E249" i="3"/>
  <c r="E87" i="3"/>
  <c r="E64" i="3"/>
  <c r="E68" i="3"/>
  <c r="E208" i="3"/>
  <c r="E201" i="3"/>
  <c r="E256" i="3"/>
  <c r="E157" i="3"/>
  <c r="E36" i="3"/>
  <c r="E226" i="3"/>
  <c r="E250" i="3"/>
  <c r="E135" i="3"/>
  <c r="E30" i="3"/>
  <c r="E81" i="3"/>
  <c r="E248" i="3"/>
  <c r="E102" i="3"/>
  <c r="E228" i="3"/>
  <c r="E166" i="3"/>
  <c r="E52" i="3"/>
  <c r="E51" i="3"/>
  <c r="E235" i="3"/>
  <c r="E76" i="3"/>
  <c r="E77" i="3"/>
  <c r="E129" i="3"/>
  <c r="E265" i="3"/>
  <c r="E219" i="3"/>
  <c r="E96" i="3"/>
  <c r="E174" i="3"/>
  <c r="E196" i="3"/>
  <c r="E99" i="3"/>
  <c r="E53" i="3"/>
  <c r="E263" i="3"/>
  <c r="E143" i="3"/>
  <c r="E18" i="3"/>
  <c r="E169" i="3"/>
  <c r="E103" i="3"/>
  <c r="E105" i="3"/>
  <c r="E63" i="3"/>
  <c r="E56" i="3"/>
  <c r="E214" i="3"/>
  <c r="E200" i="3"/>
  <c r="E179" i="3"/>
  <c r="E69" i="3"/>
  <c r="E92" i="3"/>
  <c r="E205" i="3"/>
  <c r="E193" i="3"/>
  <c r="E186" i="3"/>
  <c r="E109" i="3"/>
  <c r="E177" i="3"/>
  <c r="E222" i="3"/>
  <c r="E116" i="3"/>
  <c r="E163" i="3"/>
  <c r="E117" i="3"/>
  <c r="E172" i="3"/>
  <c r="E20" i="3"/>
  <c r="E210" i="3"/>
  <c r="E42" i="3"/>
  <c r="E119" i="3"/>
  <c r="E154" i="3"/>
  <c r="E61" i="3"/>
  <c r="E75" i="3"/>
  <c r="E188" i="3"/>
  <c r="E150" i="3"/>
  <c r="E126" i="3"/>
  <c r="E49" i="3"/>
  <c r="E243" i="3"/>
  <c r="E59" i="3"/>
  <c r="E23" i="3"/>
  <c r="E185" i="3"/>
  <c r="E269" i="3"/>
  <c r="E106" i="3"/>
  <c r="E259" i="3"/>
  <c r="E167" i="3"/>
  <c r="E173" i="3"/>
  <c r="E251" i="3"/>
  <c r="E93" i="3"/>
  <c r="E31" i="3"/>
  <c r="E192" i="3"/>
  <c r="E225" i="3"/>
  <c r="E227" i="3"/>
  <c r="E187" i="3"/>
  <c r="E54" i="3"/>
  <c r="E60" i="3"/>
  <c r="E221" i="3"/>
  <c r="E128" i="3"/>
  <c r="E209" i="3"/>
  <c r="E211" i="3"/>
  <c r="E218" i="3"/>
  <c r="E182" i="3"/>
  <c r="E247" i="3"/>
  <c r="E233" i="3"/>
  <c r="E46" i="3"/>
  <c r="E159" i="3"/>
  <c r="E234" i="3"/>
  <c r="E98" i="3"/>
  <c r="E220" i="3"/>
  <c r="E244" i="3"/>
  <c r="E198" i="3"/>
  <c r="E264" i="3"/>
  <c r="E158" i="3"/>
  <c r="E170" i="3"/>
  <c r="E82" i="3"/>
  <c r="E156" i="3"/>
  <c r="E48" i="3"/>
  <c r="E39" i="3"/>
  <c r="E108" i="3"/>
  <c r="E107" i="3"/>
  <c r="E206" i="3"/>
  <c r="E65" i="3"/>
  <c r="E85" i="3"/>
  <c r="E230" i="3"/>
  <c r="E255" i="3"/>
  <c r="E50" i="3"/>
  <c r="E148" i="3"/>
  <c r="E133" i="3"/>
  <c r="E215" i="3"/>
  <c r="E203" i="3"/>
  <c r="E253" i="3"/>
  <c r="E257" i="3"/>
  <c r="E153" i="3"/>
  <c r="E73" i="3"/>
  <c r="E254" i="3"/>
  <c r="E242" i="3"/>
  <c r="E94" i="3"/>
  <c r="E175" i="3"/>
  <c r="E171" i="3"/>
  <c r="E162" i="3"/>
  <c r="E152" i="3"/>
  <c r="E184" i="3"/>
  <c r="E262" i="3"/>
  <c r="E25" i="3"/>
  <c r="E79" i="3"/>
  <c r="E123" i="3"/>
  <c r="E146" i="3"/>
  <c r="E136" i="3"/>
  <c r="E37" i="3"/>
  <c r="E55" i="3"/>
  <c r="E236" i="3"/>
</calcChain>
</file>

<file path=xl/sharedStrings.xml><?xml version="1.0" encoding="utf-8"?>
<sst xmlns="http://schemas.openxmlformats.org/spreadsheetml/2006/main" count="1683" uniqueCount="943">
  <si>
    <t>Elec#</t>
  </si>
  <si>
    <t>Functional signal channels</t>
  </si>
  <si>
    <t>Exposed electrode tip height</t>
  </si>
  <si>
    <t>60 ± 40 µm</t>
  </si>
  <si>
    <t>Document Template</t>
  </si>
  <si>
    <t>Page 1 of 1</t>
  </si>
  <si>
    <t>CONFIDENTIAL</t>
  </si>
  <si>
    <t>Electrode Array Metric</t>
  </si>
  <si>
    <t>Accept    /    Reject    (circle one)</t>
  </si>
  <si>
    <t>The impedance values are in [kOhm]</t>
  </si>
  <si>
    <t>Automated Impedance Testing System (When applicable)</t>
  </si>
  <si>
    <t>When applicable:</t>
  </si>
  <si>
    <t>THESE DOCUMENTS ARE THE PROPERTY OF BLACKROCK MICROSYSTEMS AND SHALL NOT BE REPRODUCED, DISTRIBUTED, DISCLOSED OR USED FOR MANUFACTURE OR SALE OF APPARATUS WITHOUT THE EXPRESSED WRITTEN CONSENT OF BLACKROCK MICROSYSTEMS.</t>
  </si>
  <si>
    <t>NeuroPort</t>
  </si>
  <si>
    <t>90 minimum</t>
  </si>
  <si>
    <t>Broken elec / Fracture shaft</t>
  </si>
  <si>
    <t>Each Array in Cereport assembly</t>
  </si>
  <si>
    <t>Pin#</t>
  </si>
  <si>
    <t>Z</t>
  </si>
  <si>
    <t>Band A</t>
  </si>
  <si>
    <t>Band B</t>
  </si>
  <si>
    <t>Band C</t>
  </si>
  <si>
    <t>Band D</t>
  </si>
  <si>
    <t>A10</t>
  </si>
  <si>
    <t>A11</t>
  </si>
  <si>
    <t>A12</t>
  </si>
  <si>
    <t>A13</t>
  </si>
  <si>
    <t>A14</t>
  </si>
  <si>
    <t>A15</t>
  </si>
  <si>
    <t>A16</t>
  </si>
  <si>
    <t>A17</t>
  </si>
  <si>
    <t>A18</t>
  </si>
  <si>
    <t>A19</t>
  </si>
  <si>
    <t>A20</t>
  </si>
  <si>
    <t>A21</t>
  </si>
  <si>
    <t>A22</t>
  </si>
  <si>
    <t>A23</t>
  </si>
  <si>
    <t>A24</t>
  </si>
  <si>
    <t>A25</t>
  </si>
  <si>
    <t>A26</t>
  </si>
  <si>
    <t>A27</t>
  </si>
  <si>
    <t>A28</t>
  </si>
  <si>
    <t>A29</t>
  </si>
  <si>
    <t>A30</t>
  </si>
  <si>
    <t>A31</t>
  </si>
  <si>
    <t>A32</t>
  </si>
  <si>
    <t>Band E</t>
  </si>
  <si>
    <t>Band F</t>
  </si>
  <si>
    <t>Band G</t>
  </si>
  <si>
    <t>Band H</t>
  </si>
  <si>
    <t>G23</t>
  </si>
  <si>
    <t>B10</t>
  </si>
  <si>
    <t>C10</t>
  </si>
  <si>
    <t>D10</t>
  </si>
  <si>
    <t>E10</t>
  </si>
  <si>
    <t>F10</t>
  </si>
  <si>
    <t>G10</t>
  </si>
  <si>
    <t>H10</t>
  </si>
  <si>
    <t>B11</t>
  </si>
  <si>
    <t>C11</t>
  </si>
  <si>
    <t>D11</t>
  </si>
  <si>
    <t>E11</t>
  </si>
  <si>
    <t>F11</t>
  </si>
  <si>
    <t>G11</t>
  </si>
  <si>
    <t>H11</t>
  </si>
  <si>
    <t>B12</t>
  </si>
  <si>
    <t>C12</t>
  </si>
  <si>
    <t>D12</t>
  </si>
  <si>
    <t>E12</t>
  </si>
  <si>
    <t>F12</t>
  </si>
  <si>
    <t>G12</t>
  </si>
  <si>
    <t>H12</t>
  </si>
  <si>
    <t>B13</t>
  </si>
  <si>
    <t>C13</t>
  </si>
  <si>
    <t>D13</t>
  </si>
  <si>
    <t>E13</t>
  </si>
  <si>
    <t>F13</t>
  </si>
  <si>
    <t>G13</t>
  </si>
  <si>
    <t>H13</t>
  </si>
  <si>
    <t>B14</t>
  </si>
  <si>
    <t>C14</t>
  </si>
  <si>
    <t>D14</t>
  </si>
  <si>
    <t>E14</t>
  </si>
  <si>
    <t>F14</t>
  </si>
  <si>
    <t>G14</t>
  </si>
  <si>
    <t>H14</t>
  </si>
  <si>
    <t>B15</t>
  </si>
  <si>
    <t>C15</t>
  </si>
  <si>
    <t>D15</t>
  </si>
  <si>
    <t>E15</t>
  </si>
  <si>
    <t>F15</t>
  </si>
  <si>
    <t>G15</t>
  </si>
  <si>
    <t>H15</t>
  </si>
  <si>
    <t>B16</t>
  </si>
  <si>
    <t>C16</t>
  </si>
  <si>
    <t>D16</t>
  </si>
  <si>
    <t>E16</t>
  </si>
  <si>
    <t>F16</t>
  </si>
  <si>
    <t>G16</t>
  </si>
  <si>
    <t>H16</t>
  </si>
  <si>
    <t>B17</t>
  </si>
  <si>
    <t>C17</t>
  </si>
  <si>
    <t>D17</t>
  </si>
  <si>
    <t>E17</t>
  </si>
  <si>
    <t>F17</t>
  </si>
  <si>
    <t>G17</t>
  </si>
  <si>
    <t>H17</t>
  </si>
  <si>
    <t>B18</t>
  </si>
  <si>
    <t>C18</t>
  </si>
  <si>
    <t>D18</t>
  </si>
  <si>
    <t>E18</t>
  </si>
  <si>
    <t>F18</t>
  </si>
  <si>
    <t>G18</t>
  </si>
  <si>
    <t>H18</t>
  </si>
  <si>
    <t>B19</t>
  </si>
  <si>
    <t>C19</t>
  </si>
  <si>
    <t>D19</t>
  </si>
  <si>
    <t>E19</t>
  </si>
  <si>
    <t>F19</t>
  </si>
  <si>
    <t>G19</t>
  </si>
  <si>
    <t>H19</t>
  </si>
  <si>
    <t>B20</t>
  </si>
  <si>
    <t>C20</t>
  </si>
  <si>
    <t>D20</t>
  </si>
  <si>
    <t>E20</t>
  </si>
  <si>
    <t>F20</t>
  </si>
  <si>
    <t>G20</t>
  </si>
  <si>
    <t>H20</t>
  </si>
  <si>
    <t>B21</t>
  </si>
  <si>
    <t>C21</t>
  </si>
  <si>
    <t>D21</t>
  </si>
  <si>
    <t>E21</t>
  </si>
  <si>
    <t>F21</t>
  </si>
  <si>
    <t>G21</t>
  </si>
  <si>
    <t>H21</t>
  </si>
  <si>
    <t>B22</t>
  </si>
  <si>
    <t>C22</t>
  </si>
  <si>
    <t>D22</t>
  </si>
  <si>
    <t>E22</t>
  </si>
  <si>
    <t>F22</t>
  </si>
  <si>
    <t>G22</t>
  </si>
  <si>
    <t>H22</t>
  </si>
  <si>
    <t>B23</t>
  </si>
  <si>
    <t>C23</t>
  </si>
  <si>
    <t>D23</t>
  </si>
  <si>
    <t>E23</t>
  </si>
  <si>
    <t>F23</t>
  </si>
  <si>
    <t>H23</t>
  </si>
  <si>
    <t>B24</t>
  </si>
  <si>
    <t>C24</t>
  </si>
  <si>
    <t>D24</t>
  </si>
  <si>
    <t>E24</t>
  </si>
  <si>
    <t>F24</t>
  </si>
  <si>
    <t>G24</t>
  </si>
  <si>
    <t>H24</t>
  </si>
  <si>
    <t>B25</t>
  </si>
  <si>
    <t>C25</t>
  </si>
  <si>
    <t>D25</t>
  </si>
  <si>
    <t>E25</t>
  </si>
  <si>
    <t>F25</t>
  </si>
  <si>
    <t>G25</t>
  </si>
  <si>
    <t>H25</t>
  </si>
  <si>
    <t>B26</t>
  </si>
  <si>
    <t>C26</t>
  </si>
  <si>
    <t>D26</t>
  </si>
  <si>
    <t>E26</t>
  </si>
  <si>
    <t>F26</t>
  </si>
  <si>
    <t>G26</t>
  </si>
  <si>
    <t>H26</t>
  </si>
  <si>
    <t>B27</t>
  </si>
  <si>
    <t>C27</t>
  </si>
  <si>
    <t>D27</t>
  </si>
  <si>
    <t>E27</t>
  </si>
  <si>
    <t>F27</t>
  </si>
  <si>
    <t>G27</t>
  </si>
  <si>
    <t>H27</t>
  </si>
  <si>
    <t>B28</t>
  </si>
  <si>
    <t>C28</t>
  </si>
  <si>
    <t>D28</t>
  </si>
  <si>
    <t>E28</t>
  </si>
  <si>
    <t>F28</t>
  </si>
  <si>
    <t>G28</t>
  </si>
  <si>
    <t>H28</t>
  </si>
  <si>
    <t>B29</t>
  </si>
  <si>
    <t>C29</t>
  </si>
  <si>
    <t>D29</t>
  </si>
  <si>
    <t>E29</t>
  </si>
  <si>
    <t>F29</t>
  </si>
  <si>
    <t>G29</t>
  </si>
  <si>
    <t>H29</t>
  </si>
  <si>
    <t>B30</t>
  </si>
  <si>
    <t>C30</t>
  </si>
  <si>
    <t>D30</t>
  </si>
  <si>
    <t>E30</t>
  </si>
  <si>
    <t>F30</t>
  </si>
  <si>
    <t>G30</t>
  </si>
  <si>
    <t>H30</t>
  </si>
  <si>
    <t>B31</t>
  </si>
  <si>
    <t>C31</t>
  </si>
  <si>
    <t>D31</t>
  </si>
  <si>
    <t>E31</t>
  </si>
  <si>
    <t>F31</t>
  </si>
  <si>
    <t>G31</t>
  </si>
  <si>
    <t>H31</t>
  </si>
  <si>
    <t>B32</t>
  </si>
  <si>
    <t>C32</t>
  </si>
  <si>
    <t>D32</t>
  </si>
  <si>
    <t>E32</t>
  </si>
  <si>
    <t>F32</t>
  </si>
  <si>
    <t>G32</t>
  </si>
  <si>
    <t>H32</t>
  </si>
  <si>
    <t>R 4</t>
  </si>
  <si>
    <t>R 3</t>
  </si>
  <si>
    <t>Gnd</t>
  </si>
  <si>
    <t>R 2</t>
  </si>
  <si>
    <t>R 1</t>
  </si>
  <si>
    <t>H09</t>
  </si>
  <si>
    <t>G09</t>
  </si>
  <si>
    <t>F07</t>
  </si>
  <si>
    <t>F08</t>
  </si>
  <si>
    <t>F09</t>
  </si>
  <si>
    <t>H08</t>
  </si>
  <si>
    <t>H07</t>
  </si>
  <si>
    <t>H06</t>
  </si>
  <si>
    <t>H05</t>
  </si>
  <si>
    <t>G08</t>
  </si>
  <si>
    <t>G07</t>
  </si>
  <si>
    <t>G06</t>
  </si>
  <si>
    <t>G05</t>
  </si>
  <si>
    <t>F04</t>
  </si>
  <si>
    <t>F05</t>
  </si>
  <si>
    <t>F06</t>
  </si>
  <si>
    <t>E09</t>
  </si>
  <si>
    <t>E08</t>
  </si>
  <si>
    <t>E07</t>
  </si>
  <si>
    <t>H04</t>
  </si>
  <si>
    <t>H03</t>
  </si>
  <si>
    <t>H02</t>
  </si>
  <si>
    <t>H01</t>
  </si>
  <si>
    <t>G04</t>
  </si>
  <si>
    <t>G03</t>
  </si>
  <si>
    <t>G02</t>
  </si>
  <si>
    <t>G01</t>
  </si>
  <si>
    <t>F01</t>
  </si>
  <si>
    <t>F02</t>
  </si>
  <si>
    <t>F03</t>
  </si>
  <si>
    <t>E06</t>
  </si>
  <si>
    <t>E05</t>
  </si>
  <si>
    <t>E04</t>
  </si>
  <si>
    <t>E03</t>
  </si>
  <si>
    <t>E02</t>
  </si>
  <si>
    <t>E01</t>
  </si>
  <si>
    <t>D04</t>
  </si>
  <si>
    <t>D03</t>
  </si>
  <si>
    <t>D02</t>
  </si>
  <si>
    <t>D01</t>
  </si>
  <si>
    <t>C04</t>
  </si>
  <si>
    <t>C03</t>
  </si>
  <si>
    <t>C02</t>
  </si>
  <si>
    <t>C01</t>
  </si>
  <si>
    <t>B01</t>
  </si>
  <si>
    <t>B02</t>
  </si>
  <si>
    <t>B03</t>
  </si>
  <si>
    <t>A06</t>
  </si>
  <si>
    <t>A05</t>
  </si>
  <si>
    <t>A04</t>
  </si>
  <si>
    <t>A03</t>
  </si>
  <si>
    <t>A02</t>
  </si>
  <si>
    <t>A01</t>
  </si>
  <si>
    <t>D08</t>
  </si>
  <si>
    <t>D07</t>
  </si>
  <si>
    <t>D06</t>
  </si>
  <si>
    <t>D05</t>
  </si>
  <si>
    <t>C08</t>
  </si>
  <si>
    <t>C07</t>
  </si>
  <si>
    <t>C06</t>
  </si>
  <si>
    <t>C05</t>
  </si>
  <si>
    <t>B04</t>
  </si>
  <si>
    <t>B05</t>
  </si>
  <si>
    <t>B06</t>
  </si>
  <si>
    <t>A09</t>
  </si>
  <si>
    <t>A08</t>
  </si>
  <si>
    <t>A07</t>
  </si>
  <si>
    <t>D09</t>
  </si>
  <si>
    <t>C09</t>
  </si>
  <si>
    <t>B07</t>
  </si>
  <si>
    <t>B08</t>
  </si>
  <si>
    <t>B09</t>
  </si>
  <si>
    <t>Electrode impedance</t>
  </si>
  <si>
    <t>System channels  layout</t>
  </si>
  <si>
    <t>Electrode number layout</t>
  </si>
  <si>
    <t>256 LGA bottom view</t>
  </si>
  <si>
    <t>ch-01</t>
  </si>
  <si>
    <t>ch-02</t>
  </si>
  <si>
    <t>ch-03</t>
  </si>
  <si>
    <t>ch-04</t>
  </si>
  <si>
    <t>ch-05</t>
  </si>
  <si>
    <t>ch-06</t>
  </si>
  <si>
    <t>ch-07</t>
  </si>
  <si>
    <t>ch-08</t>
  </si>
  <si>
    <t>ch-09</t>
  </si>
  <si>
    <t>ch-10</t>
  </si>
  <si>
    <t>ch-11</t>
  </si>
  <si>
    <t>ch-12</t>
  </si>
  <si>
    <t>ch-13</t>
  </si>
  <si>
    <t>ch-14</t>
  </si>
  <si>
    <t>ch-15</t>
  </si>
  <si>
    <t>ch-16</t>
  </si>
  <si>
    <t>ch-17</t>
  </si>
  <si>
    <t>ch-18</t>
  </si>
  <si>
    <t>ch-19</t>
  </si>
  <si>
    <t>ch-20</t>
  </si>
  <si>
    <t>ch-21</t>
  </si>
  <si>
    <t>ch-22</t>
  </si>
  <si>
    <t>ch-23</t>
  </si>
  <si>
    <t>ch-24</t>
  </si>
  <si>
    <t>ch-25</t>
  </si>
  <si>
    <t>ch-26</t>
  </si>
  <si>
    <t>ch-27</t>
  </si>
  <si>
    <t>ch-28</t>
  </si>
  <si>
    <t>ch-29</t>
  </si>
  <si>
    <t>ch-30</t>
  </si>
  <si>
    <t>ch-31</t>
  </si>
  <si>
    <t>ch-32</t>
  </si>
  <si>
    <t>ch-33</t>
  </si>
  <si>
    <t>ch-34</t>
  </si>
  <si>
    <t>ch-35</t>
  </si>
  <si>
    <t>ch-36</t>
  </si>
  <si>
    <t>ch-37</t>
  </si>
  <si>
    <t>ch-38</t>
  </si>
  <si>
    <t>ch-39</t>
  </si>
  <si>
    <t>ch-40</t>
  </si>
  <si>
    <t>ch-41</t>
  </si>
  <si>
    <t>ch-42</t>
  </si>
  <si>
    <t>ch-43</t>
  </si>
  <si>
    <t>ch-44</t>
  </si>
  <si>
    <t>ch-45</t>
  </si>
  <si>
    <t>ch-46</t>
  </si>
  <si>
    <t>ch-47</t>
  </si>
  <si>
    <t>ch-48</t>
  </si>
  <si>
    <t>ch-49</t>
  </si>
  <si>
    <t>ch-50</t>
  </si>
  <si>
    <t>ch-51</t>
  </si>
  <si>
    <t>ch-52</t>
  </si>
  <si>
    <t>ch-53</t>
  </si>
  <si>
    <t>ch-54</t>
  </si>
  <si>
    <t>ch-55</t>
  </si>
  <si>
    <t>ch-56</t>
  </si>
  <si>
    <t>ch-57</t>
  </si>
  <si>
    <t>ch-58</t>
  </si>
  <si>
    <t>ch-59</t>
  </si>
  <si>
    <t>ch-60</t>
  </si>
  <si>
    <t>ch-61</t>
  </si>
  <si>
    <t>ch-62</t>
  </si>
  <si>
    <t>ch-63</t>
  </si>
  <si>
    <t>ch-64</t>
  </si>
  <si>
    <t>ch-65</t>
  </si>
  <si>
    <t>ch-66</t>
  </si>
  <si>
    <t>ch-67</t>
  </si>
  <si>
    <t>ch-68</t>
  </si>
  <si>
    <t>ch-69</t>
  </si>
  <si>
    <t>ch-70</t>
  </si>
  <si>
    <t>ch-71</t>
  </si>
  <si>
    <t>ch-72</t>
  </si>
  <si>
    <t>ch-73</t>
  </si>
  <si>
    <t>ch-74</t>
  </si>
  <si>
    <t>ch-75</t>
  </si>
  <si>
    <t>ch-76</t>
  </si>
  <si>
    <t>ch-77</t>
  </si>
  <si>
    <t>ch-78</t>
  </si>
  <si>
    <t>ch-79</t>
  </si>
  <si>
    <t>ch-80</t>
  </si>
  <si>
    <t>ch-81</t>
  </si>
  <si>
    <t>ch-82</t>
  </si>
  <si>
    <t>ch-83</t>
  </si>
  <si>
    <t>ch-84</t>
  </si>
  <si>
    <t>ch-85</t>
  </si>
  <si>
    <t>ch-86</t>
  </si>
  <si>
    <t>ch-87</t>
  </si>
  <si>
    <t>ch-88</t>
  </si>
  <si>
    <t>ch-89</t>
  </si>
  <si>
    <t>ch-90</t>
  </si>
  <si>
    <t>ch-91</t>
  </si>
  <si>
    <t>ch-92</t>
  </si>
  <si>
    <t>ch-93</t>
  </si>
  <si>
    <t>ch-94</t>
  </si>
  <si>
    <t>ch-95</t>
  </si>
  <si>
    <t>ch-96</t>
  </si>
  <si>
    <t>ch-97</t>
  </si>
  <si>
    <t>ch-98</t>
  </si>
  <si>
    <t>ch-99</t>
  </si>
  <si>
    <t>ch-100</t>
  </si>
  <si>
    <t>ch-101</t>
  </si>
  <si>
    <t>ch-102</t>
  </si>
  <si>
    <t>ch-103</t>
  </si>
  <si>
    <t>ch-104</t>
  </si>
  <si>
    <t>ch-105</t>
  </si>
  <si>
    <t>ch-106</t>
  </si>
  <si>
    <t>ch-107</t>
  </si>
  <si>
    <t>ch-108</t>
  </si>
  <si>
    <t>ch-109</t>
  </si>
  <si>
    <t>ch-110</t>
  </si>
  <si>
    <t>ch-111</t>
  </si>
  <si>
    <t>ch-112</t>
  </si>
  <si>
    <t>ch-113</t>
  </si>
  <si>
    <t>ch-114</t>
  </si>
  <si>
    <t>ch-115</t>
  </si>
  <si>
    <t>ch-116</t>
  </si>
  <si>
    <t>ch-117</t>
  </si>
  <si>
    <t>ch-118</t>
  </si>
  <si>
    <t>ch-119</t>
  </si>
  <si>
    <t>ch-120</t>
  </si>
  <si>
    <t>ch-121</t>
  </si>
  <si>
    <t>ch-122</t>
  </si>
  <si>
    <t>ch-123</t>
  </si>
  <si>
    <t>ch-124</t>
  </si>
  <si>
    <t>ch-125</t>
  </si>
  <si>
    <t>ch-126</t>
  </si>
  <si>
    <t>ch-127</t>
  </si>
  <si>
    <t>ch-128</t>
  </si>
  <si>
    <t>ch-129</t>
  </si>
  <si>
    <t>ch-130</t>
  </si>
  <si>
    <t>ch-131</t>
  </si>
  <si>
    <t>ch-132</t>
  </si>
  <si>
    <t>ch-133</t>
  </si>
  <si>
    <t>ch-134</t>
  </si>
  <si>
    <t>ch-135</t>
  </si>
  <si>
    <t>ch-136</t>
  </si>
  <si>
    <t>ch-137</t>
  </si>
  <si>
    <t>ch-138</t>
  </si>
  <si>
    <t>ch-139</t>
  </si>
  <si>
    <t>ch-140</t>
  </si>
  <si>
    <t>ch-141</t>
  </si>
  <si>
    <t>ch-142</t>
  </si>
  <si>
    <t>ch-143</t>
  </si>
  <si>
    <t>ch-144</t>
  </si>
  <si>
    <t>ch-145</t>
  </si>
  <si>
    <t>ch-146</t>
  </si>
  <si>
    <t>ch-147</t>
  </si>
  <si>
    <t>ch-148</t>
  </si>
  <si>
    <t>ch-149</t>
  </si>
  <si>
    <t>ch-150</t>
  </si>
  <si>
    <t>ch-151</t>
  </si>
  <si>
    <t>ch-152</t>
  </si>
  <si>
    <t>ch-153</t>
  </si>
  <si>
    <t>ch-154</t>
  </si>
  <si>
    <t>ch-155</t>
  </si>
  <si>
    <t>ch-156</t>
  </si>
  <si>
    <t>ch-157</t>
  </si>
  <si>
    <t>ch-158</t>
  </si>
  <si>
    <t>ch-159</t>
  </si>
  <si>
    <t>ch-160</t>
  </si>
  <si>
    <t>ch-161</t>
  </si>
  <si>
    <t>ch-162</t>
  </si>
  <si>
    <t>ch-163</t>
  </si>
  <si>
    <t>ch-164</t>
  </si>
  <si>
    <t>ch-165</t>
  </si>
  <si>
    <t>ch-166</t>
  </si>
  <si>
    <t>ch-167</t>
  </si>
  <si>
    <t>ch-168</t>
  </si>
  <si>
    <t>ch-169</t>
  </si>
  <si>
    <t>ch-170</t>
  </si>
  <si>
    <t>ch-171</t>
  </si>
  <si>
    <t>ch-172</t>
  </si>
  <si>
    <t>ch-173</t>
  </si>
  <si>
    <t>ch-174</t>
  </si>
  <si>
    <t>ch-175</t>
  </si>
  <si>
    <t>ch-176</t>
  </si>
  <si>
    <t>ch-177</t>
  </si>
  <si>
    <t>ch-178</t>
  </si>
  <si>
    <t>ch-179</t>
  </si>
  <si>
    <t>ch-180</t>
  </si>
  <si>
    <t>ch-181</t>
  </si>
  <si>
    <t>ch-182</t>
  </si>
  <si>
    <t>ch-183</t>
  </si>
  <si>
    <t>ch-184</t>
  </si>
  <si>
    <t>ch-185</t>
  </si>
  <si>
    <t>ch-186</t>
  </si>
  <si>
    <t>ch-187</t>
  </si>
  <si>
    <t>ch-188</t>
  </si>
  <si>
    <t>ch-189</t>
  </si>
  <si>
    <t>ch-190</t>
  </si>
  <si>
    <t>ch-191</t>
  </si>
  <si>
    <t>ch-192</t>
  </si>
  <si>
    <t>ch-193</t>
  </si>
  <si>
    <t>ch-194</t>
  </si>
  <si>
    <t>ch-195</t>
  </si>
  <si>
    <t>ch-196</t>
  </si>
  <si>
    <t>ch-197</t>
  </si>
  <si>
    <t>ch-198</t>
  </si>
  <si>
    <t>ch-199</t>
  </si>
  <si>
    <t>ch-200</t>
  </si>
  <si>
    <t>ch-201</t>
  </si>
  <si>
    <t>ch-202</t>
  </si>
  <si>
    <t>ch-203</t>
  </si>
  <si>
    <t>ch-204</t>
  </si>
  <si>
    <t>ch-205</t>
  </si>
  <si>
    <t>ch-206</t>
  </si>
  <si>
    <t>ch-207</t>
  </si>
  <si>
    <t>ch-208</t>
  </si>
  <si>
    <t>ch-209</t>
  </si>
  <si>
    <t>ch-210</t>
  </si>
  <si>
    <t>ch-211</t>
  </si>
  <si>
    <t>ch-212</t>
  </si>
  <si>
    <t>ch-213</t>
  </si>
  <si>
    <t>ch-214</t>
  </si>
  <si>
    <t>ch-215</t>
  </si>
  <si>
    <t>ch-216</t>
  </si>
  <si>
    <t>ch-217</t>
  </si>
  <si>
    <t>ch-218</t>
  </si>
  <si>
    <t>ch-219</t>
  </si>
  <si>
    <t>ch-220</t>
  </si>
  <si>
    <t>ch-221</t>
  </si>
  <si>
    <t>ch-222</t>
  </si>
  <si>
    <t>ch-223</t>
  </si>
  <si>
    <t>ch-224</t>
  </si>
  <si>
    <t>ch-225</t>
  </si>
  <si>
    <t>ch-226</t>
  </si>
  <si>
    <t>ch-227</t>
  </si>
  <si>
    <t>ch-228</t>
  </si>
  <si>
    <t>ch-229</t>
  </si>
  <si>
    <t>ch-230</t>
  </si>
  <si>
    <t>ch-231</t>
  </si>
  <si>
    <t>ch-232</t>
  </si>
  <si>
    <t>ch-233</t>
  </si>
  <si>
    <t>ch-234</t>
  </si>
  <si>
    <t>ch-235</t>
  </si>
  <si>
    <t>ch-236</t>
  </si>
  <si>
    <t>ch-237</t>
  </si>
  <si>
    <t>ch-238</t>
  </si>
  <si>
    <t>ch-239</t>
  </si>
  <si>
    <t>ch-240</t>
  </si>
  <si>
    <t>ch-241</t>
  </si>
  <si>
    <t>ch-242</t>
  </si>
  <si>
    <t>ch-243</t>
  </si>
  <si>
    <t>ch-244</t>
  </si>
  <si>
    <t>ch-245</t>
  </si>
  <si>
    <t>ch-246</t>
  </si>
  <si>
    <t>ch-247</t>
  </si>
  <si>
    <t>ch-248</t>
  </si>
  <si>
    <t>ch-249</t>
  </si>
  <si>
    <t>ch-250</t>
  </si>
  <si>
    <t>ch-251</t>
  </si>
  <si>
    <t>ch-252</t>
  </si>
  <si>
    <t>ch-253</t>
  </si>
  <si>
    <t>ch-254</t>
  </si>
  <si>
    <t>ch-255</t>
  </si>
  <si>
    <t>ch-256</t>
  </si>
  <si>
    <t>Connector band and pin#</t>
  </si>
  <si>
    <t>NSP ch</t>
  </si>
  <si>
    <t>NSP impedance</t>
  </si>
  <si>
    <t>Impedance (Platinum)</t>
  </si>
  <si>
    <t>Impedance (Iridium Oxide)</t>
  </si>
  <si>
    <t>NOTE: Impedance values shown as &lt;= are below the</t>
  </si>
  <si>
    <t>detection limits of the Patient Cable impedance tester</t>
  </si>
  <si>
    <t xml:space="preserve">4290 Impedance Meter SN:  4290-    </t>
  </si>
  <si>
    <t>// Auto generated mapfile</t>
  </si>
  <si>
    <t>//</t>
  </si>
  <si>
    <t>Array Map with Automated Tester</t>
  </si>
  <si>
    <t>//   legend</t>
  </si>
  <si>
    <t>//   col - 0 based column from left to right</t>
  </si>
  <si>
    <t>//   row - 0 based row from bottom to top</t>
  </si>
  <si>
    <t>//   bank - bank name - values can be A B C or D</t>
  </si>
  <si>
    <t>//   elec - 1 based electrode number within the bank - values can be 1-32</t>
  </si>
  <si>
    <t>//   label - label used to rename channels in Central (optional)</t>
  </si>
  <si>
    <t>// Comments begin with //</t>
  </si>
  <si>
    <t>// First non-comment line is the Mapfile description</t>
  </si>
  <si>
    <t>//col</t>
  </si>
  <si>
    <t>row</t>
  </si>
  <si>
    <t>bank</t>
  </si>
  <si>
    <t>elec</t>
  </si>
  <si>
    <t>label</t>
  </si>
  <si>
    <t>A 1</t>
  </si>
  <si>
    <t>AL</t>
  </si>
  <si>
    <t>cell with first pin</t>
  </si>
  <si>
    <t>name of sheet</t>
  </si>
  <si>
    <t>row of first pin</t>
  </si>
  <si>
    <t>col of first pin</t>
  </si>
  <si>
    <t>label col</t>
  </si>
  <si>
    <t>max label</t>
  </si>
  <si>
    <t>max array rows</t>
  </si>
  <si>
    <t>min array cols</t>
  </si>
  <si>
    <t>A 2</t>
  </si>
  <si>
    <t>A 3</t>
  </si>
  <si>
    <t>A 4</t>
  </si>
  <si>
    <t>A 5</t>
  </si>
  <si>
    <t>A 6</t>
  </si>
  <si>
    <t>A 7</t>
  </si>
  <si>
    <t>A 8</t>
  </si>
  <si>
    <t>A 9</t>
  </si>
  <si>
    <t>A 10</t>
  </si>
  <si>
    <t>A 11</t>
  </si>
  <si>
    <t>A 12</t>
  </si>
  <si>
    <t>A 13</t>
  </si>
  <si>
    <t>A 14</t>
  </si>
  <si>
    <t>A 15</t>
  </si>
  <si>
    <t>A 16</t>
  </si>
  <si>
    <t>A 17</t>
  </si>
  <si>
    <t>A 18</t>
  </si>
  <si>
    <t>A 19</t>
  </si>
  <si>
    <t>A 20</t>
  </si>
  <si>
    <t>A 21</t>
  </si>
  <si>
    <t>A 22</t>
  </si>
  <si>
    <t>A 23</t>
  </si>
  <si>
    <t>A 24</t>
  </si>
  <si>
    <t>A 25</t>
  </si>
  <si>
    <t>A 26</t>
  </si>
  <si>
    <t>A 27</t>
  </si>
  <si>
    <t>A 28</t>
  </si>
  <si>
    <t>A 29</t>
  </si>
  <si>
    <t>A 30</t>
  </si>
  <si>
    <t>A 31</t>
  </si>
  <si>
    <t>A 32</t>
  </si>
  <si>
    <t>B 1</t>
  </si>
  <si>
    <t>B 2</t>
  </si>
  <si>
    <t>B 3</t>
  </si>
  <si>
    <t>B 4</t>
  </si>
  <si>
    <t>B 5</t>
  </si>
  <si>
    <t>B 6</t>
  </si>
  <si>
    <t>B 7</t>
  </si>
  <si>
    <t>B 8</t>
  </si>
  <si>
    <t>B 9</t>
  </si>
  <si>
    <t>B 10</t>
  </si>
  <si>
    <t>B 11</t>
  </si>
  <si>
    <t>B 12</t>
  </si>
  <si>
    <t>B 13</t>
  </si>
  <si>
    <t>B 14</t>
  </si>
  <si>
    <t>B 15</t>
  </si>
  <si>
    <t>B 16</t>
  </si>
  <si>
    <t>B 17</t>
  </si>
  <si>
    <t>B 18</t>
  </si>
  <si>
    <t>B 19</t>
  </si>
  <si>
    <t>B 20</t>
  </si>
  <si>
    <t>B 21</t>
  </si>
  <si>
    <t>B 22</t>
  </si>
  <si>
    <t>B 23</t>
  </si>
  <si>
    <t>B 24</t>
  </si>
  <si>
    <t>B 25</t>
  </si>
  <si>
    <t>B 26</t>
  </si>
  <si>
    <t>B 27</t>
  </si>
  <si>
    <t>B 28</t>
  </si>
  <si>
    <t>B 29</t>
  </si>
  <si>
    <t>B 30</t>
  </si>
  <si>
    <t>B 31</t>
  </si>
  <si>
    <t>B 32</t>
  </si>
  <si>
    <t>C 1</t>
  </si>
  <si>
    <t>C 2</t>
  </si>
  <si>
    <t>C 3</t>
  </si>
  <si>
    <t>C 4</t>
  </si>
  <si>
    <t>C 5</t>
  </si>
  <si>
    <t>C 6</t>
  </si>
  <si>
    <t>C 7</t>
  </si>
  <si>
    <t>C 8</t>
  </si>
  <si>
    <t>C 9</t>
  </si>
  <si>
    <t>C 10</t>
  </si>
  <si>
    <t>C 11</t>
  </si>
  <si>
    <t>C 12</t>
  </si>
  <si>
    <t>C 13</t>
  </si>
  <si>
    <t>C 14</t>
  </si>
  <si>
    <t>C 15</t>
  </si>
  <si>
    <t>C 16</t>
  </si>
  <si>
    <t>C 17</t>
  </si>
  <si>
    <t>C 18</t>
  </si>
  <si>
    <t>C 19</t>
  </si>
  <si>
    <t>C 20</t>
  </si>
  <si>
    <t>C 21</t>
  </si>
  <si>
    <t>C 22</t>
  </si>
  <si>
    <t>C 23</t>
  </si>
  <si>
    <t>C 24</t>
  </si>
  <si>
    <t>C 25</t>
  </si>
  <si>
    <t>C 26</t>
  </si>
  <si>
    <t>C 27</t>
  </si>
  <si>
    <t>C 28</t>
  </si>
  <si>
    <t>C 29</t>
  </si>
  <si>
    <t>C 30</t>
  </si>
  <si>
    <t>C 31</t>
  </si>
  <si>
    <t>C 32</t>
  </si>
  <si>
    <t>D 1</t>
  </si>
  <si>
    <t>D 2</t>
  </si>
  <si>
    <t>D 3</t>
  </si>
  <si>
    <t>D 4</t>
  </si>
  <si>
    <t>D 5</t>
  </si>
  <si>
    <t>D 6</t>
  </si>
  <si>
    <t>D 7</t>
  </si>
  <si>
    <t>D 8</t>
  </si>
  <si>
    <t>D 9</t>
  </si>
  <si>
    <t>D 10</t>
  </si>
  <si>
    <t>D 11</t>
  </si>
  <si>
    <t>D 12</t>
  </si>
  <si>
    <t>D 13</t>
  </si>
  <si>
    <t>D 14</t>
  </si>
  <si>
    <t>D 15</t>
  </si>
  <si>
    <t>D 16</t>
  </si>
  <si>
    <t>D 17</t>
  </si>
  <si>
    <t>D 18</t>
  </si>
  <si>
    <t>D 19</t>
  </si>
  <si>
    <t>D 20</t>
  </si>
  <si>
    <t>D 21</t>
  </si>
  <si>
    <t>D 22</t>
  </si>
  <si>
    <t>D 23</t>
  </si>
  <si>
    <t>D 24</t>
  </si>
  <si>
    <t>D 25</t>
  </si>
  <si>
    <t>D 26</t>
  </si>
  <si>
    <t>D 27</t>
  </si>
  <si>
    <t>D 28</t>
  </si>
  <si>
    <t>D 29</t>
  </si>
  <si>
    <t>D 30</t>
  </si>
  <si>
    <t>D 31</t>
  </si>
  <si>
    <t>D 32</t>
  </si>
  <si>
    <t>E 1</t>
  </si>
  <si>
    <t>E 2</t>
  </si>
  <si>
    <t>E 3</t>
  </si>
  <si>
    <t>E 4</t>
  </si>
  <si>
    <t>E 5</t>
  </si>
  <si>
    <t>E 6</t>
  </si>
  <si>
    <t>E 7</t>
  </si>
  <si>
    <t>E 8</t>
  </si>
  <si>
    <t>E 9</t>
  </si>
  <si>
    <t>E 10</t>
  </si>
  <si>
    <t>E 11</t>
  </si>
  <si>
    <t>E 12</t>
  </si>
  <si>
    <t>E 13</t>
  </si>
  <si>
    <t>E 14</t>
  </si>
  <si>
    <t>E 15</t>
  </si>
  <si>
    <t>E 16</t>
  </si>
  <si>
    <t>E 17</t>
  </si>
  <si>
    <t>E 18</t>
  </si>
  <si>
    <t>E 19</t>
  </si>
  <si>
    <t>E 20</t>
  </si>
  <si>
    <t>E 21</t>
  </si>
  <si>
    <t>E 22</t>
  </si>
  <si>
    <t>E 23</t>
  </si>
  <si>
    <t>E 24</t>
  </si>
  <si>
    <t>E 25</t>
  </si>
  <si>
    <t>E 26</t>
  </si>
  <si>
    <t>E 27</t>
  </si>
  <si>
    <t>E 28</t>
  </si>
  <si>
    <t>E 29</t>
  </si>
  <si>
    <t>E 30</t>
  </si>
  <si>
    <t>E 31</t>
  </si>
  <si>
    <t>E 32</t>
  </si>
  <si>
    <t>F 1</t>
  </si>
  <si>
    <t>F 2</t>
  </si>
  <si>
    <t>F 3</t>
  </si>
  <si>
    <t>F 4</t>
  </si>
  <si>
    <t>F 5</t>
  </si>
  <si>
    <t>F 6</t>
  </si>
  <si>
    <t>F 7</t>
  </si>
  <si>
    <t>F 8</t>
  </si>
  <si>
    <t>F 9</t>
  </si>
  <si>
    <t>F 10</t>
  </si>
  <si>
    <t>F 11</t>
  </si>
  <si>
    <t>F 12</t>
  </si>
  <si>
    <t>F 13</t>
  </si>
  <si>
    <t>F 14</t>
  </si>
  <si>
    <t>F 15</t>
  </si>
  <si>
    <t>F 16</t>
  </si>
  <si>
    <t>F 17</t>
  </si>
  <si>
    <t>F 18</t>
  </si>
  <si>
    <t>F 19</t>
  </si>
  <si>
    <t>F 20</t>
  </si>
  <si>
    <t>F 21</t>
  </si>
  <si>
    <t>F 22</t>
  </si>
  <si>
    <t>F 23</t>
  </si>
  <si>
    <t>F 24</t>
  </si>
  <si>
    <t>F 25</t>
  </si>
  <si>
    <t>F 26</t>
  </si>
  <si>
    <t>F 27</t>
  </si>
  <si>
    <t>F 28</t>
  </si>
  <si>
    <t>F 29</t>
  </si>
  <si>
    <t>F 30</t>
  </si>
  <si>
    <t>F 31</t>
  </si>
  <si>
    <t>F 32</t>
  </si>
  <si>
    <t>G 1</t>
  </si>
  <si>
    <t>G 2</t>
  </si>
  <si>
    <t>G 3</t>
  </si>
  <si>
    <t>G 4</t>
  </si>
  <si>
    <t>G 5</t>
  </si>
  <si>
    <t>G 6</t>
  </si>
  <si>
    <t>G 7</t>
  </si>
  <si>
    <t>G 8</t>
  </si>
  <si>
    <t>G 9</t>
  </si>
  <si>
    <t>G 10</t>
  </si>
  <si>
    <t>G 11</t>
  </si>
  <si>
    <t>G 12</t>
  </si>
  <si>
    <t>G 13</t>
  </si>
  <si>
    <t>G 14</t>
  </si>
  <si>
    <t>G 15</t>
  </si>
  <si>
    <t>G 16</t>
  </si>
  <si>
    <t>G 17</t>
  </si>
  <si>
    <t>G 18</t>
  </si>
  <si>
    <t>G 19</t>
  </si>
  <si>
    <t>G 20</t>
  </si>
  <si>
    <t>G 21</t>
  </si>
  <si>
    <t>G 22</t>
  </si>
  <si>
    <t>G 23</t>
  </si>
  <si>
    <t>G 24</t>
  </si>
  <si>
    <t>G 25</t>
  </si>
  <si>
    <t>G 26</t>
  </si>
  <si>
    <t>G 27</t>
  </si>
  <si>
    <t>G 28</t>
  </si>
  <si>
    <t>G 29</t>
  </si>
  <si>
    <t>G 30</t>
  </si>
  <si>
    <t>G 31</t>
  </si>
  <si>
    <t>G 32</t>
  </si>
  <si>
    <t>H 1</t>
  </si>
  <si>
    <t>H 2</t>
  </si>
  <si>
    <t>H 3</t>
  </si>
  <si>
    <t>H 4</t>
  </si>
  <si>
    <t>H 5</t>
  </si>
  <si>
    <t>H 6</t>
  </si>
  <si>
    <t>H 7</t>
  </si>
  <si>
    <t>H 8</t>
  </si>
  <si>
    <t>H 9</t>
  </si>
  <si>
    <t>H 10</t>
  </si>
  <si>
    <t>H 11</t>
  </si>
  <si>
    <t>H 12</t>
  </si>
  <si>
    <t>H 13</t>
  </si>
  <si>
    <t>H 14</t>
  </si>
  <si>
    <t>H 15</t>
  </si>
  <si>
    <t>H 16</t>
  </si>
  <si>
    <t>H 17</t>
  </si>
  <si>
    <t>H 18</t>
  </si>
  <si>
    <t>H 19</t>
  </si>
  <si>
    <t>H 20</t>
  </si>
  <si>
    <t>H 21</t>
  </si>
  <si>
    <t>H 22</t>
  </si>
  <si>
    <t>H 23</t>
  </si>
  <si>
    <t>H 24</t>
  </si>
  <si>
    <t>H 25</t>
  </si>
  <si>
    <t>H 26</t>
  </si>
  <si>
    <t>H 27</t>
  </si>
  <si>
    <t>H 28</t>
  </si>
  <si>
    <t>H 29</t>
  </si>
  <si>
    <t>H 30</t>
  </si>
  <si>
    <t>H 31</t>
  </si>
  <si>
    <t>H 32</t>
  </si>
  <si>
    <t>array row start</t>
  </si>
  <si>
    <t>Electrode number viewing from pad side</t>
  </si>
  <si>
    <t>Elec. 129-256: 92% minimum</t>
  </si>
  <si>
    <t>5 Max, Not adjacent</t>
  </si>
  <si>
    <t>10 Max</t>
  </si>
  <si>
    <r>
      <t xml:space="preserve">20kOhm - 800kOhm        </t>
    </r>
    <r>
      <rPr>
        <sz val="8"/>
        <rFont val="Wingdings"/>
        <charset val="2"/>
      </rPr>
      <t>o</t>
    </r>
  </si>
  <si>
    <t>Doc # BLK-DT-0867</t>
  </si>
  <si>
    <r>
      <t xml:space="preserve">100kOhm - 800kOhm     </t>
    </r>
    <r>
      <rPr>
        <sz val="8"/>
        <rFont val="Wingdings"/>
        <charset val="2"/>
      </rPr>
      <t>o</t>
    </r>
  </si>
  <si>
    <r>
      <t xml:space="preserve">1kOhm-80kOhm           </t>
    </r>
    <r>
      <rPr>
        <sz val="8"/>
        <rFont val="Wingdings"/>
        <charset val="2"/>
      </rPr>
      <t>o</t>
    </r>
  </si>
  <si>
    <t>Cereport 256ch Array Assembly Impedance Data</t>
  </si>
  <si>
    <t>ECO 24-054    Rev 2</t>
  </si>
  <si>
    <t>Effective Date: 08/21/2024</t>
  </si>
  <si>
    <t>Array Size#  (4) 8 x 8</t>
  </si>
  <si>
    <t>CerePlex Direct SN: 7380 - 019334</t>
  </si>
  <si>
    <t>Cereplex-E256 SN:  10747 - 019745</t>
  </si>
  <si>
    <r>
      <t xml:space="preserve">1kOhm - 80kOhm            </t>
    </r>
    <r>
      <rPr>
        <sz val="8"/>
        <rFont val="Wingdings"/>
        <charset val="2"/>
      </rPr>
      <t>þ</t>
    </r>
  </si>
  <si>
    <t>Technician:  Hoa Dinh</t>
  </si>
  <si>
    <t>Date: 5/21/2025</t>
  </si>
  <si>
    <t>SO-50015428</t>
  </si>
  <si>
    <t>Array #  1106-22, 24, 42, 44</t>
  </si>
  <si>
    <t>SN:   11386-024040</t>
  </si>
  <si>
    <t>Array 1 ID : 1106-22</t>
  </si>
  <si>
    <t>Array 2 ID : 1106-24</t>
  </si>
  <si>
    <t>Array 3 ID : 1106-42</t>
  </si>
  <si>
    <t>Array 4 ID : 1106-44</t>
  </si>
  <si>
    <t>&lt;= 15</t>
  </si>
  <si>
    <t>A7</t>
  </si>
  <si>
    <t>A1</t>
  </si>
  <si>
    <t>A8</t>
  </si>
  <si>
    <t>A2</t>
  </si>
  <si>
    <t>A9</t>
  </si>
  <si>
    <t>A5</t>
  </si>
  <si>
    <t>A4</t>
  </si>
  <si>
    <t>B3</t>
  </si>
  <si>
    <t>B6</t>
  </si>
  <si>
    <t>B9</t>
  </si>
  <si>
    <t>A6</t>
  </si>
  <si>
    <t>B7</t>
  </si>
  <si>
    <t>B5</t>
  </si>
  <si>
    <t>B8</t>
  </si>
  <si>
    <t>C1</t>
  </si>
  <si>
    <t>C5</t>
  </si>
  <si>
    <t>B1</t>
  </si>
  <si>
    <t>B2</t>
  </si>
  <si>
    <t>B4</t>
  </si>
  <si>
    <t>C9</t>
  </si>
  <si>
    <t>D2</t>
  </si>
  <si>
    <t>C3</t>
  </si>
  <si>
    <t>C7</t>
  </si>
  <si>
    <t>C2</t>
  </si>
  <si>
    <t>C6</t>
  </si>
  <si>
    <t>D1</t>
  </si>
  <si>
    <t>D5</t>
  </si>
  <si>
    <t>D9</t>
  </si>
  <si>
    <t>D4</t>
  </si>
  <si>
    <t>D8</t>
  </si>
  <si>
    <t>D3</t>
  </si>
  <si>
    <t>D7</t>
  </si>
  <si>
    <t>D6</t>
  </si>
  <si>
    <t>A3</t>
  </si>
  <si>
    <t>E3</t>
  </si>
  <si>
    <t>E9</t>
  </si>
  <si>
    <t>E5</t>
  </si>
  <si>
    <t>E2</t>
  </si>
  <si>
    <t>E8</t>
  </si>
  <si>
    <t>E6</t>
  </si>
  <si>
    <t>E4</t>
  </si>
  <si>
    <t>E1</t>
  </si>
  <si>
    <t>E7</t>
  </si>
  <si>
    <t>F3</t>
  </si>
  <si>
    <t>F7</t>
  </si>
  <si>
    <t>F6</t>
  </si>
  <si>
    <t>F9</t>
  </si>
  <si>
    <t>F5</t>
  </si>
  <si>
    <t>F8</t>
  </si>
  <si>
    <t>F1</t>
  </si>
  <si>
    <t>F4</t>
  </si>
  <si>
    <t>G3</t>
  </si>
  <si>
    <t>G7</t>
  </si>
  <si>
    <t>G1</t>
  </si>
  <si>
    <t>G5</t>
  </si>
  <si>
    <t>G9</t>
  </si>
  <si>
    <t>G2</t>
  </si>
  <si>
    <t>G6</t>
  </si>
  <si>
    <t>H4</t>
  </si>
  <si>
    <t>H8</t>
  </si>
  <si>
    <t>H1</t>
  </si>
  <si>
    <t>H5</t>
  </si>
  <si>
    <t>H9</t>
  </si>
  <si>
    <t>H3</t>
  </si>
  <si>
    <t>H7</t>
  </si>
  <si>
    <t>H2</t>
  </si>
  <si>
    <t>H6</t>
  </si>
  <si>
    <t>C4</t>
  </si>
  <si>
    <t>C8</t>
  </si>
  <si>
    <t>G4</t>
  </si>
  <si>
    <t>G8</t>
  </si>
  <si>
    <t>First 128 System Channels</t>
  </si>
  <si>
    <t>Last 128 System Channels</t>
  </si>
  <si>
    <t>F2</t>
  </si>
  <si>
    <t>Array 1 - SMA</t>
  </si>
  <si>
    <t>Array 2 - Dorsal Premotor</t>
  </si>
  <si>
    <t>Array 3 - M1 Inferior</t>
  </si>
  <si>
    <t>Array 4 - M1 Superior</t>
  </si>
  <si>
    <t>First 128 Electrodes</t>
  </si>
  <si>
    <t>Last 128 Electrodes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</si>
</sst>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47" x14ac:knownFonts="1">
    <font>
      <sz val="10"/>
      <name val="Arial"/>
    </font>
    <font>
      <sz val="10"/>
      <name val="Times New Roman"/>
      <family val="1"/>
    </font>
    <font>
      <b/>
      <sz val="10"/>
      <name val="Arial"/>
      <family val="2"/>
    </font>
    <font>
      <sz val="8"/>
      <name val="Arial"/>
      <family val="2"/>
    </font>
    <font>
      <b/>
      <sz val="8"/>
      <name val="Arial"/>
      <family val="2"/>
    </font>
    <font>
      <sz val="9"/>
      <name val="Arial"/>
      <family val="2"/>
    </font>
    <font>
      <sz val="12"/>
      <name val="Times New Roman"/>
      <family val="1"/>
    </font>
    <font>
      <sz val="8"/>
      <name val="Arial"/>
      <family val="2"/>
    </font>
    <font>
      <b/>
      <sz val="9"/>
      <name val="Arial"/>
      <family val="2"/>
    </font>
    <font>
      <sz val="10"/>
      <name val="Arial"/>
      <family val="2"/>
    </font>
    <font>
      <b/>
      <i/>
      <sz val="10"/>
      <name val="Arial"/>
      <family val="2"/>
    </font>
    <font>
      <sz val="8"/>
      <name val="Wingdings"/>
      <charset val="2"/>
    </font>
    <font>
      <b/>
      <sz val="11"/>
      <color theme="1"/>
      <name val="Calibri"/>
      <family val="2"/>
      <scheme val="minor"/>
    </font>
    <font>
      <b/>
      <i/>
      <sz val="11"/>
      <color theme="1"/>
      <name val="Calibri"/>
      <family val="2"/>
      <scheme val="minor"/>
    </font>
    <font>
      <sz val="9"/>
      <color theme="1"/>
      <name val="Calibri"/>
      <family val="2"/>
      <scheme val="minor"/>
    </font>
    <font>
      <sz val="9"/>
      <name val="Calibri"/>
      <family val="2"/>
      <scheme val="minor"/>
    </font>
    <font>
      <b/>
      <sz val="9"/>
      <color theme="1"/>
      <name val="Calibri"/>
      <family val="2"/>
      <scheme val="minor"/>
    </font>
    <font>
      <b/>
      <sz val="8"/>
      <color theme="1"/>
      <name val="Calibri"/>
      <family val="2"/>
      <scheme val="minor"/>
    </font>
    <font>
      <sz val="10"/>
      <color theme="1"/>
      <name val="Calibri"/>
      <family val="2"/>
      <scheme val="minor"/>
    </font>
    <font>
      <sz val="10"/>
      <color rgb="FFFF0000"/>
      <name val="Arial"/>
      <family val="2"/>
    </font>
    <font>
      <b/>
      <sz val="12"/>
      <name val="Arial"/>
      <family val="2"/>
    </font>
    <font>
      <b/>
      <sz val="14"/>
      <color theme="1"/>
      <name val="Calibri"/>
      <family val="2"/>
      <scheme val="minor"/>
    </font>
    <font>
      <sz val="8"/>
      <color theme="1"/>
      <name val="Calibri"/>
      <family val="2"/>
      <scheme val="minor"/>
    </font>
    <font>
      <b/>
      <sz val="9"/>
      <color rgb="FFFF0000"/>
      <name val="Calibri"/>
      <family val="2"/>
      <scheme val="minor"/>
    </font>
    <font>
      <b/>
      <sz val="10"/>
      <color rgb="FFFF0000"/>
      <name val="Calibri"/>
      <family val="2"/>
      <scheme val="minor"/>
    </font>
    <font>
      <sz val="10"/>
      <name val="Calibri"/>
      <family val="2"/>
      <scheme val="minor"/>
    </font>
    <font>
      <b/>
      <sz val="10"/>
      <color theme="1"/>
      <name val="Calibri"/>
      <family val="2"/>
      <scheme val="minor"/>
    </font>
    <font>
      <b/>
      <sz val="12"/>
      <name val="Times New Roman"/>
      <family val="1"/>
    </font>
    <font>
      <sz val="9"/>
      <name val="Times New Roman"/>
      <family val="1"/>
    </font>
    <font>
      <b/>
      <sz val="11"/>
      <name val="Arial"/>
      <family val="2"/>
    </font>
    <font>
      <sz val="11"/>
      <name val="Arial"/>
      <family val="2"/>
    </font>
    <font>
      <b/>
      <sz val="12"/>
      <color rgb="FFFF0000"/>
      <name val="Arial"/>
      <family val="2"/>
    </font>
    <font>
      <b/>
      <sz val="12"/>
      <color rgb="FF00B0F0"/>
      <name val="Arial"/>
      <family val="2"/>
    </font>
    <font>
      <sz val="10"/>
      <color theme="1"/>
      <name val="Arial"/>
      <family val="2"/>
    </font>
    <font>
      <b/>
      <sz val="12"/>
      <color theme="1"/>
      <name val="Arial"/>
      <family val="2"/>
    </font>
    <font>
      <sz val="10"/>
      <color theme="1"/>
      <name val="Arial"/>
    </font>
    <font>
      <b/>
      <sz val="10"/>
      <color rgb="FFFF0000"/>
      <name val="Arial"/>
      <family val="2"/>
    </font>
    <font>
      <b/>
      <sz val="10"/>
      <color theme="1"/>
      <name val="Arial"/>
      <family val="2"/>
    </font>
    <font>
      <b/>
      <sz val="9"/>
      <color theme="1"/>
      <name val="Arial"/>
      <family val="2"/>
    </font>
    <font>
      <b/>
      <sz val="10"/>
      <color rgb="FF00B0F0"/>
      <name val="Calibri"/>
      <family val="2"/>
      <scheme val="minor"/>
    </font>
    <font>
      <b/>
      <sz val="10"/>
      <color rgb="FF00B0F0"/>
      <name val="Arial"/>
      <family val="2"/>
    </font>
    <font>
      <b/>
      <sz val="12"/>
      <color rgb="FF00B050"/>
      <name val="Arial"/>
      <family val="2"/>
    </font>
    <font>
      <b/>
      <sz val="10"/>
      <color rgb="FF00B050"/>
      <name val="Calibri"/>
      <family val="2"/>
      <scheme val="minor"/>
    </font>
    <font>
      <b/>
      <sz val="10"/>
      <color rgb="FF00B050"/>
      <name val="Arial"/>
      <family val="2"/>
    </font>
    <font>
      <b/>
      <sz val="12"/>
      <color theme="7"/>
      <name val="Arial"/>
      <family val="2"/>
    </font>
    <font>
      <b/>
      <sz val="10"/>
      <color theme="7"/>
      <name val="Calibri"/>
      <family val="2"/>
      <scheme val="minor"/>
    </font>
    <font>
      <b/>
      <sz val="10"/>
      <color theme="7"/>
      <name val="Arial"/>
      <family val="2"/>
    </font>
  </fonts>
  <fills count="22">
    <fill>
      <patternFill patternType="none"/>
    </fill>
    <fill>
      <patternFill patternType="gray125"/>
    </fill>
    <fill>
      <patternFill patternType="solid">
        <fgColor theme="5" tint="0.59999389629810485"/>
        <bgColor indexed="64"/>
      </patternFill>
    </fill>
    <fill>
      <patternFill patternType="solid">
        <fgColor theme="3" tint="0.39997558519241921"/>
        <bgColor indexed="64"/>
      </patternFill>
    </fill>
    <fill>
      <patternFill patternType="solid">
        <fgColor theme="4" tint="0.79998168889431442"/>
        <bgColor indexed="64"/>
      </patternFill>
    </fill>
    <fill>
      <patternFill patternType="solid">
        <fgColor rgb="FF99CCFF"/>
        <bgColor indexed="64"/>
      </patternFill>
    </fill>
    <fill>
      <patternFill patternType="solid">
        <fgColor rgb="FF00B050"/>
        <bgColor indexed="64"/>
      </patternFill>
    </fill>
    <fill>
      <patternFill patternType="solid">
        <fgColor theme="5" tint="-0.499984740745262"/>
        <bgColor indexed="64"/>
      </patternFill>
    </fill>
    <fill>
      <patternFill patternType="solid">
        <fgColor rgb="FF7030A0"/>
        <bgColor indexed="64"/>
      </patternFill>
    </fill>
    <fill>
      <patternFill patternType="solid">
        <fgColor theme="2" tint="-0.249977111117893"/>
        <bgColor indexed="64"/>
      </patternFill>
    </fill>
    <fill>
      <patternFill patternType="solid">
        <fgColor rgb="FFFFFF66"/>
        <bgColor indexed="64"/>
      </patternFill>
    </fill>
    <fill>
      <patternFill patternType="solid">
        <fgColor rgb="FF99FF66"/>
        <bgColor indexed="64"/>
      </patternFill>
    </fill>
    <fill>
      <patternFill patternType="solid">
        <fgColor rgb="FFFFC000"/>
        <bgColor indexed="64"/>
      </patternFill>
    </fill>
    <fill>
      <patternFill patternType="solid">
        <fgColor rgb="FFFF0000"/>
        <bgColor indexed="64"/>
      </patternFill>
    </fill>
    <fill>
      <patternFill patternType="solid">
        <fgColor rgb="FF99FF99"/>
        <bgColor indexed="64"/>
      </patternFill>
    </fill>
    <fill>
      <patternFill patternType="solid">
        <fgColor theme="9" tint="0.39997558519241921"/>
        <bgColor indexed="64"/>
      </patternFill>
    </fill>
    <fill>
      <patternFill patternType="solid">
        <fgColor rgb="FFFFFF00"/>
        <bgColor indexed="64"/>
      </patternFill>
    </fill>
    <fill>
      <patternFill patternType="solid">
        <fgColor rgb="FFE7F1D7"/>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rgb="FFF9B073"/>
        <bgColor indexed="64"/>
      </patternFill>
    </fill>
    <fill>
      <patternFill patternType="solid">
        <fgColor theme="6" tint="0.59999389629810485"/>
        <bgColor indexed="64"/>
      </patternFill>
    </fill>
  </fills>
  <borders count="32">
    <border>
      <left/>
      <right/>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right/>
      <top style="medium">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ck">
        <color indexed="64"/>
      </right>
      <top/>
      <bottom/>
      <diagonal/>
    </border>
  </borders>
  <cellStyleXfs count="2">
    <xf numFmtId="0" fontId="0" fillId="0" borderId="0"/>
    <xf numFmtId="0" fontId="9" fillId="0" borderId="0"/>
  </cellStyleXfs>
  <cellXfs count="243">
    <xf numFmtId="0" fontId="0" fillId="0" borderId="0" xfId="0"/>
    <xf numFmtId="0" fontId="1" fillId="0" borderId="0" xfId="0" applyFont="1" applyAlignment="1">
      <alignment horizontal="left" vertical="center"/>
    </xf>
    <xf numFmtId="0" fontId="5" fillId="0" borderId="5" xfId="0" applyFont="1" applyBorder="1" applyAlignment="1">
      <alignment horizontal="center"/>
    </xf>
    <xf numFmtId="0" fontId="5" fillId="0" borderId="6" xfId="0" applyFont="1" applyBorder="1" applyAlignment="1">
      <alignment horizontal="center"/>
    </xf>
    <xf numFmtId="0" fontId="1" fillId="0" borderId="7" xfId="0" applyFont="1" applyBorder="1" applyAlignment="1">
      <alignment horizontal="right"/>
    </xf>
    <xf numFmtId="0" fontId="5" fillId="0" borderId="8" xfId="0" applyFont="1" applyBorder="1" applyAlignment="1">
      <alignment horizontal="center"/>
    </xf>
    <xf numFmtId="0" fontId="5" fillId="0" borderId="0" xfId="0" applyFont="1" applyAlignment="1">
      <alignment horizontal="center"/>
    </xf>
    <xf numFmtId="0" fontId="5" fillId="0" borderId="10" xfId="0" applyFont="1" applyBorder="1" applyAlignment="1">
      <alignment horizontal="center"/>
    </xf>
    <xf numFmtId="0" fontId="1" fillId="0" borderId="12" xfId="0" applyFont="1" applyBorder="1" applyAlignment="1">
      <alignment horizontal="right"/>
    </xf>
    <xf numFmtId="0" fontId="1" fillId="0" borderId="0" xfId="0" applyFont="1" applyAlignment="1">
      <alignment horizontal="right"/>
    </xf>
    <xf numFmtId="0" fontId="8" fillId="0" borderId="0" xfId="0" applyFont="1" applyAlignment="1">
      <alignment horizontal="center" vertical="center"/>
    </xf>
    <xf numFmtId="0" fontId="2" fillId="0" borderId="0" xfId="0" applyFont="1" applyAlignment="1">
      <alignment horizontal="center"/>
    </xf>
    <xf numFmtId="0" fontId="2" fillId="0" borderId="0" xfId="0" applyFont="1" applyAlignment="1">
      <alignment horizontal="left" vertical="center"/>
    </xf>
    <xf numFmtId="0" fontId="0" fillId="0" borderId="0" xfId="0" applyAlignment="1">
      <alignment vertical="center"/>
    </xf>
    <xf numFmtId="0" fontId="10" fillId="0" borderId="0" xfId="0" applyFont="1"/>
    <xf numFmtId="0" fontId="9" fillId="0" borderId="0" xfId="0" applyFont="1"/>
    <xf numFmtId="0" fontId="13" fillId="0" borderId="0" xfId="0" applyFont="1"/>
    <xf numFmtId="0" fontId="14" fillId="0" borderId="0" xfId="0" applyFont="1" applyAlignment="1">
      <alignment horizontal="center" vertical="center"/>
    </xf>
    <xf numFmtId="0" fontId="14" fillId="0" borderId="10" xfId="0" applyFont="1" applyBorder="1" applyAlignment="1">
      <alignment horizontal="center" vertical="center"/>
    </xf>
    <xf numFmtId="0" fontId="14" fillId="0" borderId="8" xfId="0" applyFont="1" applyBorder="1" applyAlignment="1">
      <alignment horizontal="center" vertical="center"/>
    </xf>
    <xf numFmtId="0" fontId="14" fillId="0" borderId="5" xfId="0" applyFont="1" applyBorder="1" applyAlignment="1">
      <alignment horizontal="center" vertical="center"/>
    </xf>
    <xf numFmtId="0" fontId="5" fillId="0" borderId="0" xfId="0" applyFont="1"/>
    <xf numFmtId="0" fontId="4" fillId="0" borderId="4" xfId="0" applyFont="1" applyBorder="1" applyAlignment="1">
      <alignment horizontal="center" vertical="center"/>
    </xf>
    <xf numFmtId="0" fontId="3" fillId="0" borderId="0" xfId="0" applyFont="1"/>
    <xf numFmtId="0" fontId="2" fillId="0" borderId="0" xfId="0" applyFont="1" applyAlignment="1">
      <alignment vertical="center"/>
    </xf>
    <xf numFmtId="0" fontId="20" fillId="0" borderId="0" xfId="0" applyFont="1"/>
    <xf numFmtId="0" fontId="20" fillId="0" borderId="0" xfId="0" applyFont="1" applyAlignment="1">
      <alignment vertical="center"/>
    </xf>
    <xf numFmtId="0" fontId="21" fillId="0" borderId="0" xfId="0" applyFont="1"/>
    <xf numFmtId="0" fontId="20" fillId="0" borderId="0" xfId="0" applyFont="1" applyAlignment="1">
      <alignment horizontal="left"/>
    </xf>
    <xf numFmtId="0" fontId="5" fillId="0" borderId="4" xfId="0" applyFont="1" applyBorder="1" applyAlignment="1">
      <alignment horizontal="center" vertical="center"/>
    </xf>
    <xf numFmtId="0" fontId="5" fillId="0" borderId="0" xfId="0" applyFont="1" applyAlignment="1">
      <alignment horizontal="center" vertical="center"/>
    </xf>
    <xf numFmtId="0" fontId="0" fillId="0" borderId="0" xfId="0" applyAlignment="1">
      <alignment horizontal="center" vertical="center"/>
    </xf>
    <xf numFmtId="0" fontId="9" fillId="0" borderId="0" xfId="0" applyFont="1" applyAlignment="1">
      <alignment horizontal="center" vertical="center"/>
    </xf>
    <xf numFmtId="0" fontId="9" fillId="19" borderId="0" xfId="0" applyFont="1" applyFill="1" applyAlignment="1">
      <alignment vertical="center"/>
    </xf>
    <xf numFmtId="0" fontId="9" fillId="15" borderId="0" xfId="0" applyFont="1" applyFill="1" applyAlignment="1">
      <alignment vertical="center"/>
    </xf>
    <xf numFmtId="0" fontId="9" fillId="16" borderId="0" xfId="0" applyFont="1" applyFill="1" applyAlignment="1">
      <alignment vertical="center"/>
    </xf>
    <xf numFmtId="0" fontId="9" fillId="14" borderId="0" xfId="0" applyFont="1" applyFill="1" applyAlignment="1">
      <alignment vertical="center"/>
    </xf>
    <xf numFmtId="0" fontId="3" fillId="0" borderId="4" xfId="0" applyFont="1" applyBorder="1" applyAlignment="1">
      <alignment horizontal="center" vertical="center"/>
    </xf>
    <xf numFmtId="0" fontId="0" fillId="0" borderId="0" xfId="0" applyAlignment="1">
      <alignment horizontal="right"/>
    </xf>
    <xf numFmtId="0" fontId="14" fillId="5" borderId="0" xfId="0" applyFont="1" applyFill="1" applyAlignment="1">
      <alignment horizontal="center" vertical="center"/>
    </xf>
    <xf numFmtId="0" fontId="14" fillId="11" borderId="0" xfId="0" applyFont="1" applyFill="1" applyAlignment="1">
      <alignment horizontal="center" vertical="center"/>
    </xf>
    <xf numFmtId="164" fontId="0" fillId="0" borderId="0" xfId="0" applyNumberFormat="1"/>
    <xf numFmtId="164" fontId="9" fillId="0" borderId="0" xfId="0" applyNumberFormat="1" applyFont="1" applyAlignment="1">
      <alignment horizontal="right"/>
    </xf>
    <xf numFmtId="164" fontId="9" fillId="0" borderId="0" xfId="0" applyNumberFormat="1" applyFont="1" applyAlignment="1">
      <alignment horizontal="left"/>
    </xf>
    <xf numFmtId="164" fontId="0" fillId="0" borderId="0" xfId="0" applyNumberFormat="1" applyAlignment="1">
      <alignment horizontal="left"/>
    </xf>
    <xf numFmtId="164" fontId="9" fillId="0" borderId="0" xfId="0" applyNumberFormat="1" applyFont="1"/>
    <xf numFmtId="0" fontId="2" fillId="0" borderId="0" xfId="1" applyFont="1" applyAlignment="1">
      <alignment vertical="center"/>
    </xf>
    <xf numFmtId="0" fontId="9" fillId="0" borderId="0" xfId="1" applyAlignment="1">
      <alignment vertical="center"/>
    </xf>
    <xf numFmtId="0" fontId="0" fillId="0" borderId="6" xfId="0" applyBorder="1" applyAlignment="1">
      <alignment horizontal="center"/>
    </xf>
    <xf numFmtId="0" fontId="0" fillId="0" borderId="0" xfId="0" applyAlignment="1">
      <alignment horizontal="center"/>
    </xf>
    <xf numFmtId="0" fontId="5" fillId="0" borderId="11" xfId="0" applyFont="1" applyBorder="1" applyAlignment="1">
      <alignment horizontal="center"/>
    </xf>
    <xf numFmtId="0" fontId="0" fillId="0" borderId="11" xfId="0" applyBorder="1"/>
    <xf numFmtId="0" fontId="12" fillId="21" borderId="0" xfId="0" applyFont="1" applyFill="1" applyAlignment="1" applyProtection="1">
      <alignment shrinkToFit="1"/>
      <protection locked="0"/>
    </xf>
    <xf numFmtId="0" fontId="0" fillId="21" borderId="0" xfId="0" applyFill="1" applyAlignment="1" applyProtection="1">
      <alignment shrinkToFit="1"/>
      <protection locked="0"/>
    </xf>
    <xf numFmtId="0" fontId="0" fillId="0" borderId="0" xfId="0" applyProtection="1">
      <protection locked="0"/>
    </xf>
    <xf numFmtId="0" fontId="12" fillId="0" borderId="0" xfId="0" applyFont="1" applyProtection="1">
      <protection locked="0"/>
    </xf>
    <xf numFmtId="0" fontId="18" fillId="21" borderId="0" xfId="0" applyFont="1" applyFill="1" applyAlignment="1" applyProtection="1">
      <alignment horizontal="center" vertical="center" shrinkToFit="1"/>
      <protection locked="0"/>
    </xf>
    <xf numFmtId="0" fontId="22" fillId="0" borderId="0" xfId="0" applyFont="1" applyAlignment="1" applyProtection="1">
      <alignment horizontal="center" vertical="center"/>
      <protection locked="0"/>
    </xf>
    <xf numFmtId="0" fontId="9" fillId="0" borderId="0" xfId="0" applyFont="1" applyProtection="1">
      <protection locked="0"/>
    </xf>
    <xf numFmtId="0" fontId="5" fillId="0" borderId="0" xfId="0" applyFont="1" applyProtection="1">
      <protection locked="0"/>
    </xf>
    <xf numFmtId="0" fontId="24" fillId="21" borderId="0" xfId="0" applyFont="1" applyFill="1" applyAlignment="1" applyProtection="1">
      <alignment horizontal="center" vertical="center" shrinkToFit="1"/>
      <protection locked="0"/>
    </xf>
    <xf numFmtId="0" fontId="5" fillId="21" borderId="0" xfId="0" applyFont="1" applyFill="1" applyAlignment="1" applyProtection="1">
      <alignment shrinkToFit="1"/>
      <protection locked="0"/>
    </xf>
    <xf numFmtId="0" fontId="19" fillId="0" borderId="0" xfId="0" applyFont="1" applyProtection="1">
      <protection locked="0"/>
    </xf>
    <xf numFmtId="0" fontId="5" fillId="0" borderId="14" xfId="0" applyFont="1" applyBorder="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15" fillId="6" borderId="0" xfId="0" applyFont="1" applyFill="1" applyAlignment="1" applyProtection="1">
      <alignment horizontal="center" vertical="center"/>
      <protection locked="0"/>
    </xf>
    <xf numFmtId="0" fontId="16" fillId="7" borderId="4" xfId="0" applyFont="1" applyFill="1" applyBorder="1" applyAlignment="1" applyProtection="1">
      <alignment horizontal="center" vertical="center" wrapText="1"/>
      <protection locked="0"/>
    </xf>
    <xf numFmtId="0" fontId="14" fillId="18" borderId="4" xfId="0" applyFont="1" applyFill="1" applyBorder="1" applyAlignment="1" applyProtection="1">
      <alignment horizontal="center" vertical="center"/>
      <protection locked="0"/>
    </xf>
    <xf numFmtId="0" fontId="14" fillId="2" borderId="4" xfId="0" applyFont="1" applyFill="1" applyBorder="1" applyAlignment="1" applyProtection="1">
      <alignment horizontal="center" vertical="center"/>
      <protection locked="0"/>
    </xf>
    <xf numFmtId="0" fontId="14" fillId="3" borderId="4" xfId="0" applyFont="1" applyFill="1" applyBorder="1" applyAlignment="1" applyProtection="1">
      <alignment horizontal="center" vertical="center"/>
      <protection locked="0"/>
    </xf>
    <xf numFmtId="0" fontId="14" fillId="4" borderId="4" xfId="0" applyFont="1" applyFill="1" applyBorder="1" applyAlignment="1" applyProtection="1">
      <alignment horizontal="center" vertical="center"/>
      <protection locked="0"/>
    </xf>
    <xf numFmtId="0" fontId="14" fillId="5" borderId="4" xfId="0" applyFont="1" applyFill="1" applyBorder="1" applyAlignment="1" applyProtection="1">
      <alignment horizontal="center" vertical="center"/>
      <protection locked="0"/>
    </xf>
    <xf numFmtId="0" fontId="16" fillId="8" borderId="4" xfId="0" applyFont="1" applyFill="1" applyBorder="1" applyAlignment="1" applyProtection="1">
      <alignment horizontal="center" vertical="center" wrapText="1"/>
      <protection locked="0"/>
    </xf>
    <xf numFmtId="0" fontId="17" fillId="9" borderId="4" xfId="0" applyFont="1" applyFill="1" applyBorder="1" applyAlignment="1" applyProtection="1">
      <alignment horizontal="center" vertical="center" textRotation="180" wrapText="1"/>
      <protection locked="0"/>
    </xf>
    <xf numFmtId="0" fontId="14" fillId="10" borderId="4" xfId="0" applyFont="1" applyFill="1" applyBorder="1" applyAlignment="1" applyProtection="1">
      <alignment horizontal="center" vertical="center"/>
      <protection locked="0"/>
    </xf>
    <xf numFmtId="0" fontId="14" fillId="10" borderId="14" xfId="0" applyFont="1" applyFill="1" applyBorder="1" applyAlignment="1" applyProtection="1">
      <alignment horizontal="center" vertical="center"/>
      <protection locked="0"/>
    </xf>
    <xf numFmtId="0" fontId="14" fillId="17" borderId="4" xfId="0" applyFont="1" applyFill="1" applyBorder="1" applyAlignment="1" applyProtection="1">
      <alignment horizontal="center" vertical="center"/>
      <protection locked="0"/>
    </xf>
    <xf numFmtId="0" fontId="14" fillId="20" borderId="4" xfId="0" applyFont="1" applyFill="1" applyBorder="1" applyAlignment="1" applyProtection="1">
      <alignment horizontal="center" vertical="center"/>
      <protection locked="0"/>
    </xf>
    <xf numFmtId="0" fontId="14" fillId="11" borderId="4" xfId="0" applyFont="1" applyFill="1" applyBorder="1" applyAlignment="1" applyProtection="1">
      <alignment horizontal="center" vertical="center"/>
      <protection locked="0"/>
    </xf>
    <xf numFmtId="0" fontId="16" fillId="12" borderId="4" xfId="0" applyFont="1" applyFill="1" applyBorder="1" applyAlignment="1" applyProtection="1">
      <alignment horizontal="center" vertical="center" wrapText="1"/>
      <protection locked="0"/>
    </xf>
    <xf numFmtId="0" fontId="16" fillId="13" borderId="4" xfId="0" applyFont="1" applyFill="1" applyBorder="1" applyAlignment="1" applyProtection="1">
      <alignment horizontal="center" vertical="center" wrapText="1"/>
      <protection locked="0"/>
    </xf>
    <xf numFmtId="0" fontId="14" fillId="11" borderId="30" xfId="0" applyFont="1" applyFill="1" applyBorder="1" applyAlignment="1" applyProtection="1">
      <alignment horizontal="center" vertical="center"/>
      <protection locked="0"/>
    </xf>
    <xf numFmtId="0" fontId="14" fillId="11" borderId="16" xfId="0" applyFont="1" applyFill="1" applyBorder="1" applyAlignment="1" applyProtection="1">
      <alignment horizontal="center" vertical="center"/>
      <protection locked="0"/>
    </xf>
    <xf numFmtId="0" fontId="14" fillId="5" borderId="13" xfId="0" applyFont="1" applyFill="1" applyBorder="1" applyAlignment="1" applyProtection="1">
      <alignment horizontal="center" vertical="center"/>
      <protection locked="0"/>
    </xf>
    <xf numFmtId="0" fontId="14" fillId="4" borderId="10" xfId="0" applyFont="1" applyFill="1" applyBorder="1" applyAlignment="1" applyProtection="1">
      <alignment horizontal="center" vertical="center"/>
      <protection locked="0"/>
    </xf>
    <xf numFmtId="0" fontId="14" fillId="4" borderId="14" xfId="0" applyFont="1" applyFill="1" applyBorder="1" applyAlignment="1" applyProtection="1">
      <alignment horizontal="center" vertical="center"/>
      <protection locked="0"/>
    </xf>
    <xf numFmtId="0" fontId="23" fillId="3" borderId="4" xfId="0" applyFont="1" applyFill="1" applyBorder="1" applyAlignment="1" applyProtection="1">
      <alignment horizontal="center" vertical="center"/>
      <protection locked="0"/>
    </xf>
    <xf numFmtId="0" fontId="12" fillId="9" borderId="4" xfId="0" applyFont="1" applyFill="1" applyBorder="1" applyAlignment="1" applyProtection="1">
      <alignment horizontal="center" vertical="center" textRotation="180" wrapText="1"/>
      <protection locked="0"/>
    </xf>
    <xf numFmtId="0" fontId="23" fillId="5" borderId="4"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0" fontId="9" fillId="0" borderId="0" xfId="1" applyAlignment="1" applyProtection="1">
      <alignment vertical="center"/>
      <protection locked="0"/>
    </xf>
    <xf numFmtId="0" fontId="0" fillId="0" borderId="0" xfId="0" applyAlignment="1" applyProtection="1">
      <alignment vertical="center"/>
      <protection locked="0"/>
    </xf>
    <xf numFmtId="0" fontId="18" fillId="21" borderId="4" xfId="0" applyFont="1" applyFill="1" applyBorder="1" applyAlignment="1" applyProtection="1">
      <alignment horizontal="center" vertical="center" shrinkToFit="1"/>
      <protection locked="0"/>
    </xf>
    <xf numFmtId="0" fontId="0" fillId="21" borderId="4" xfId="0" applyFill="1" applyBorder="1" applyAlignment="1" applyProtection="1">
      <alignment shrinkToFit="1"/>
      <protection locked="0"/>
    </xf>
    <xf numFmtId="0" fontId="18" fillId="0" borderId="4" xfId="0" applyFont="1" applyBorder="1" applyAlignment="1" applyProtection="1">
      <alignment horizontal="center" vertical="center"/>
      <protection locked="0"/>
    </xf>
    <xf numFmtId="0" fontId="25" fillId="0" borderId="4" xfId="0" applyFont="1" applyBorder="1" applyAlignment="1" applyProtection="1">
      <alignment horizontal="center" vertical="center"/>
      <protection locked="0"/>
    </xf>
    <xf numFmtId="0" fontId="18" fillId="0" borderId="0" xfId="0" applyFont="1" applyAlignment="1" applyProtection="1">
      <alignment horizontal="center" vertical="center"/>
      <protection locked="0"/>
    </xf>
    <xf numFmtId="0" fontId="27" fillId="0" borderId="0" xfId="0" applyFont="1" applyAlignment="1">
      <alignment horizontal="center"/>
    </xf>
    <xf numFmtId="0" fontId="29" fillId="0" borderId="0" xfId="0" applyFont="1" applyAlignment="1">
      <alignment horizontal="left"/>
    </xf>
    <xf numFmtId="0" fontId="29" fillId="0" borderId="0" xfId="0" applyFont="1"/>
    <xf numFmtId="0" fontId="30" fillId="0" borderId="0" xfId="0" applyFont="1"/>
    <xf numFmtId="0" fontId="0" fillId="21" borderId="0" xfId="0" applyFill="1"/>
    <xf numFmtId="0" fontId="25" fillId="0" borderId="0" xfId="0" applyFont="1" applyAlignment="1" applyProtection="1">
      <alignment horizontal="center" vertical="center"/>
      <protection locked="0"/>
    </xf>
    <xf numFmtId="0" fontId="26" fillId="0" borderId="0" xfId="0" applyFont="1" applyAlignment="1" applyProtection="1">
      <alignment vertical="center"/>
      <protection locked="0"/>
    </xf>
    <xf numFmtId="0" fontId="9" fillId="0" borderId="4" xfId="0" applyFont="1" applyBorder="1" applyAlignment="1">
      <alignment horizontal="center" vertical="center"/>
    </xf>
    <xf numFmtId="0" fontId="0" fillId="0" borderId="0" xfId="0" applyAlignment="1" applyProtection="1">
      <alignment horizontal="center" vertical="center" shrinkToFit="1"/>
      <protection locked="0"/>
    </xf>
    <xf numFmtId="0" fontId="2" fillId="0" borderId="0" xfId="0" applyFont="1" applyAlignment="1">
      <alignment horizontal="center" vertical="center"/>
    </xf>
    <xf numFmtId="0" fontId="18" fillId="0" borderId="0" xfId="0" applyFont="1" applyAlignment="1" applyProtection="1">
      <alignment horizontal="center" vertical="center" shrinkToFit="1"/>
      <protection locked="0"/>
    </xf>
    <xf numFmtId="0" fontId="12" fillId="0" borderId="0" xfId="0" applyFont="1" applyAlignment="1" applyProtection="1">
      <alignment horizontal="center" vertical="center"/>
      <protection locked="0"/>
    </xf>
    <xf numFmtId="0" fontId="18" fillId="0" borderId="4" xfId="0" applyFont="1" applyBorder="1" applyAlignment="1" applyProtection="1">
      <alignment horizontal="center" vertical="center" shrinkToFit="1"/>
      <protection locked="0"/>
    </xf>
    <xf numFmtId="0" fontId="9" fillId="0" borderId="4" xfId="0" applyFont="1" applyBorder="1" applyAlignment="1" applyProtection="1">
      <alignment horizontal="center" vertical="center" shrinkToFit="1"/>
      <protection locked="0"/>
    </xf>
    <xf numFmtId="0" fontId="29" fillId="0" borderId="14" xfId="0" applyFont="1" applyBorder="1" applyAlignment="1" applyProtection="1">
      <alignment horizontal="left"/>
      <protection locked="0"/>
    </xf>
    <xf numFmtId="0" fontId="30" fillId="0" borderId="15" xfId="0" applyFont="1" applyBorder="1" applyProtection="1">
      <protection locked="0"/>
    </xf>
    <xf numFmtId="0" fontId="30" fillId="0" borderId="16" xfId="0" applyFont="1" applyBorder="1" applyProtection="1">
      <protection locked="0"/>
    </xf>
    <xf numFmtId="0" fontId="8" fillId="0" borderId="14" xfId="0" applyFont="1" applyBorder="1" applyAlignment="1">
      <alignment horizontal="center" vertical="center" wrapText="1"/>
    </xf>
    <xf numFmtId="0" fontId="0" fillId="0" borderId="15" xfId="0" applyBorder="1" applyAlignment="1">
      <alignment wrapText="1"/>
    </xf>
    <xf numFmtId="0" fontId="0" fillId="0" borderId="15" xfId="0" applyBorder="1"/>
    <xf numFmtId="0" fontId="0" fillId="0" borderId="16" xfId="0" applyBorder="1"/>
    <xf numFmtId="0" fontId="29" fillId="0" borderId="3" xfId="0" applyFont="1" applyBorder="1" applyAlignment="1" applyProtection="1">
      <alignment horizontal="left" vertical="center"/>
      <protection locked="0"/>
    </xf>
    <xf numFmtId="0" fontId="29" fillId="0" borderId="19" xfId="0" applyFont="1" applyBorder="1" applyAlignment="1" applyProtection="1">
      <alignment horizontal="left" vertical="center"/>
      <protection locked="0"/>
    </xf>
    <xf numFmtId="0" fontId="29" fillId="0" borderId="2" xfId="0" applyFont="1" applyBorder="1" applyAlignment="1" applyProtection="1">
      <alignment horizontal="left"/>
      <protection locked="0"/>
    </xf>
    <xf numFmtId="0" fontId="29" fillId="0" borderId="20" xfId="0" applyFont="1" applyBorder="1" applyAlignment="1" applyProtection="1">
      <alignment horizontal="left"/>
      <protection locked="0"/>
    </xf>
    <xf numFmtId="0" fontId="29" fillId="0" borderId="24" xfId="0" applyFont="1" applyBorder="1" applyAlignment="1">
      <alignment horizontal="center"/>
    </xf>
    <xf numFmtId="0" fontId="29" fillId="0" borderId="25" xfId="0" applyFont="1" applyBorder="1" applyAlignment="1">
      <alignment horizontal="center"/>
    </xf>
    <xf numFmtId="0" fontId="29" fillId="0" borderId="26" xfId="0" applyFont="1" applyBorder="1" applyAlignment="1">
      <alignment horizontal="center"/>
    </xf>
    <xf numFmtId="0" fontId="29" fillId="0" borderId="17" xfId="0" applyFont="1" applyBorder="1" applyAlignment="1" applyProtection="1">
      <alignment horizontal="left" vertical="center"/>
      <protection locked="0"/>
    </xf>
    <xf numFmtId="0" fontId="29" fillId="0" borderId="15" xfId="0" applyFont="1" applyBorder="1" applyAlignment="1" applyProtection="1">
      <alignment horizontal="left" vertical="center"/>
      <protection locked="0"/>
    </xf>
    <xf numFmtId="0" fontId="29" fillId="0" borderId="18" xfId="0" applyFont="1" applyBorder="1" applyAlignment="1" applyProtection="1">
      <alignment horizontal="left" vertical="center"/>
      <protection locked="0"/>
    </xf>
    <xf numFmtId="0" fontId="2" fillId="14" borderId="2" xfId="0" applyFont="1" applyFill="1" applyBorder="1" applyAlignment="1">
      <alignment horizontal="center" vertical="center" wrapText="1"/>
    </xf>
    <xf numFmtId="0" fontId="2" fillId="14" borderId="20" xfId="0" applyFont="1" applyFill="1" applyBorder="1" applyAlignment="1">
      <alignment horizontal="center" vertical="center" wrapText="1"/>
    </xf>
    <xf numFmtId="0" fontId="2" fillId="14" borderId="1" xfId="0" applyFont="1" applyFill="1" applyBorder="1" applyAlignment="1">
      <alignment horizontal="center" vertical="center" wrapText="1"/>
    </xf>
    <xf numFmtId="0" fontId="2" fillId="15" borderId="27" xfId="0" applyFont="1" applyFill="1" applyBorder="1" applyAlignment="1">
      <alignment horizontal="center" vertical="center" wrapText="1"/>
    </xf>
    <xf numFmtId="0" fontId="2" fillId="15" borderId="28" xfId="0" applyFont="1" applyFill="1" applyBorder="1" applyAlignment="1">
      <alignment horizontal="center" vertical="center" wrapText="1"/>
    </xf>
    <xf numFmtId="0" fontId="2" fillId="15" borderId="29" xfId="0" applyFont="1" applyFill="1" applyBorder="1" applyAlignment="1">
      <alignment horizontal="center" vertical="center" wrapText="1"/>
    </xf>
    <xf numFmtId="0" fontId="2" fillId="17" borderId="27" xfId="0" applyFont="1" applyFill="1" applyBorder="1" applyAlignment="1">
      <alignment horizontal="center" vertical="center" wrapText="1"/>
    </xf>
    <xf numFmtId="0" fontId="2" fillId="17" borderId="28" xfId="0" applyFont="1" applyFill="1" applyBorder="1" applyAlignment="1">
      <alignment horizontal="center" vertical="center" wrapText="1"/>
    </xf>
    <xf numFmtId="0" fontId="2" fillId="17" borderId="29" xfId="0" applyFont="1" applyFill="1" applyBorder="1" applyAlignment="1">
      <alignment horizontal="center" vertical="center" wrapText="1"/>
    </xf>
    <xf numFmtId="0" fontId="2" fillId="16" borderId="27" xfId="0" applyFont="1" applyFill="1" applyBorder="1" applyAlignment="1">
      <alignment horizontal="center" vertical="center" wrapText="1"/>
    </xf>
    <xf numFmtId="0" fontId="2" fillId="16" borderId="28" xfId="0" applyFont="1" applyFill="1" applyBorder="1" applyAlignment="1">
      <alignment horizontal="center" vertical="center" wrapText="1"/>
    </xf>
    <xf numFmtId="0" fontId="2" fillId="16" borderId="29" xfId="0" applyFont="1" applyFill="1" applyBorder="1" applyAlignment="1">
      <alignment horizontal="center" vertical="center" wrapText="1"/>
    </xf>
    <xf numFmtId="0" fontId="2" fillId="4" borderId="27" xfId="0" applyFont="1" applyFill="1" applyBorder="1" applyAlignment="1">
      <alignment horizontal="center" vertical="center" wrapText="1"/>
    </xf>
    <xf numFmtId="0" fontId="2" fillId="4" borderId="28" xfId="0" applyFont="1" applyFill="1" applyBorder="1" applyAlignment="1">
      <alignment horizontal="center" vertical="center" wrapText="1"/>
    </xf>
    <xf numFmtId="0" fontId="2" fillId="4" borderId="29" xfId="0" applyFont="1" applyFill="1" applyBorder="1" applyAlignment="1">
      <alignment horizontal="center" vertical="center" wrapText="1"/>
    </xf>
    <xf numFmtId="0" fontId="2" fillId="18" borderId="27" xfId="0" applyFont="1" applyFill="1" applyBorder="1" applyAlignment="1">
      <alignment horizontal="center" vertical="center" wrapText="1"/>
    </xf>
    <xf numFmtId="0" fontId="2" fillId="18" borderId="28" xfId="0" applyFont="1" applyFill="1" applyBorder="1" applyAlignment="1">
      <alignment horizontal="center" vertical="center" wrapText="1"/>
    </xf>
    <xf numFmtId="0" fontId="2" fillId="18" borderId="29" xfId="0" applyFont="1" applyFill="1" applyBorder="1" applyAlignment="1">
      <alignment horizontal="center" vertical="center" wrapText="1"/>
    </xf>
    <xf numFmtId="0" fontId="29" fillId="0" borderId="21" xfId="1" applyFont="1" applyBorder="1" applyAlignment="1" applyProtection="1">
      <alignment horizontal="left" vertical="center"/>
      <protection locked="0"/>
    </xf>
    <xf numFmtId="0" fontId="29" fillId="0" borderId="22" xfId="1" applyFont="1" applyBorder="1" applyAlignment="1" applyProtection="1">
      <alignment horizontal="left" vertical="center"/>
      <protection locked="0"/>
    </xf>
    <xf numFmtId="0" fontId="29" fillId="0" borderId="23" xfId="1" applyFont="1" applyBorder="1" applyAlignment="1" applyProtection="1">
      <alignment horizontal="left" vertical="center"/>
      <protection locked="0"/>
    </xf>
    <xf numFmtId="0" fontId="2" fillId="5" borderId="27" xfId="0" applyFont="1" applyFill="1" applyBorder="1" applyAlignment="1">
      <alignment horizontal="center" vertical="center" wrapText="1"/>
    </xf>
    <xf numFmtId="0" fontId="2" fillId="5" borderId="28" xfId="0" applyFont="1" applyFill="1" applyBorder="1" applyAlignment="1">
      <alignment horizontal="center" vertical="center" wrapText="1"/>
    </xf>
    <xf numFmtId="0" fontId="2" fillId="5" borderId="29" xfId="0" applyFont="1" applyFill="1" applyBorder="1" applyAlignment="1">
      <alignment horizontal="center" vertical="center" wrapText="1"/>
    </xf>
    <xf numFmtId="0" fontId="6" fillId="0" borderId="6" xfId="0" applyFont="1" applyBorder="1" applyAlignment="1">
      <alignment horizontal="center"/>
    </xf>
    <xf numFmtId="0" fontId="0" fillId="0" borderId="6" xfId="0" applyBorder="1" applyAlignment="1">
      <alignment horizontal="center"/>
    </xf>
    <xf numFmtId="0" fontId="27" fillId="0" borderId="0" xfId="0" applyFont="1" applyAlignment="1">
      <alignment horizontal="center"/>
    </xf>
    <xf numFmtId="0" fontId="2" fillId="0" borderId="0" xfId="0" applyFont="1" applyAlignment="1">
      <alignment horizontal="center"/>
    </xf>
    <xf numFmtId="0" fontId="5" fillId="0" borderId="11" xfId="0" applyFont="1" applyBorder="1" applyAlignment="1">
      <alignment horizontal="center"/>
    </xf>
    <xf numFmtId="0" fontId="0" fillId="0" borderId="11" xfId="0" applyBorder="1"/>
    <xf numFmtId="0" fontId="1" fillId="0" borderId="0" xfId="0" applyFont="1" applyAlignment="1">
      <alignment horizontal="right"/>
    </xf>
    <xf numFmtId="0" fontId="1" fillId="0" borderId="9" xfId="0" applyFont="1" applyBorder="1" applyAlignment="1">
      <alignment horizontal="right"/>
    </xf>
    <xf numFmtId="0" fontId="0" fillId="0" borderId="0" xfId="0" applyAlignment="1">
      <alignment horizontal="right"/>
    </xf>
    <xf numFmtId="0" fontId="0" fillId="0" borderId="9" xfId="0" applyBorder="1" applyAlignment="1">
      <alignment horizontal="right"/>
    </xf>
    <xf numFmtId="0" fontId="6" fillId="0" borderId="5" xfId="0" applyFont="1" applyBorder="1" applyAlignment="1">
      <alignment horizontal="center" vertical="center"/>
    </xf>
    <xf numFmtId="0" fontId="0" fillId="0" borderId="6" xfId="0" applyBorder="1"/>
    <xf numFmtId="0" fontId="0" fillId="0" borderId="10" xfId="0" applyBorder="1"/>
    <xf numFmtId="0" fontId="28" fillId="0" borderId="6" xfId="0" applyFont="1" applyBorder="1" applyAlignment="1">
      <alignment vertical="center" wrapText="1"/>
    </xf>
    <xf numFmtId="0" fontId="28" fillId="0" borderId="7" xfId="0" applyFont="1" applyBorder="1" applyAlignment="1">
      <alignment vertical="center" wrapText="1"/>
    </xf>
    <xf numFmtId="0" fontId="28" fillId="0" borderId="11" xfId="0" applyFont="1" applyBorder="1" applyAlignment="1">
      <alignment vertical="center" wrapText="1"/>
    </xf>
    <xf numFmtId="0" fontId="28" fillId="0" borderId="12" xfId="0" applyFont="1" applyBorder="1" applyAlignment="1">
      <alignment vertical="center" wrapText="1"/>
    </xf>
    <xf numFmtId="0" fontId="3" fillId="0" borderId="5" xfId="0" applyFont="1" applyBorder="1" applyAlignment="1">
      <alignment horizontal="left" vertical="center" wrapText="1"/>
    </xf>
    <xf numFmtId="0" fontId="3" fillId="0" borderId="6" xfId="0" applyFont="1" applyBorder="1" applyAlignment="1">
      <alignment vertical="center" wrapText="1"/>
    </xf>
    <xf numFmtId="0" fontId="3" fillId="0" borderId="7" xfId="0" applyFont="1" applyBorder="1" applyAlignment="1">
      <alignment vertical="center" wrapText="1"/>
    </xf>
    <xf numFmtId="0" fontId="0" fillId="0" borderId="15" xfId="0" applyBorder="1" applyAlignment="1">
      <alignment horizontal="center" wrapText="1"/>
    </xf>
    <xf numFmtId="0" fontId="0" fillId="0" borderId="16" xfId="0" applyBorder="1" applyAlignment="1">
      <alignment horizontal="center" wrapText="1"/>
    </xf>
    <xf numFmtId="0" fontId="3" fillId="0" borderId="14" xfId="0" applyFont="1" applyBorder="1" applyAlignment="1" applyProtection="1">
      <alignment horizontal="left" vertical="center" wrapText="1"/>
      <protection locked="0"/>
    </xf>
    <xf numFmtId="0" fontId="3" fillId="0" borderId="15" xfId="0" applyFont="1" applyBorder="1" applyAlignment="1" applyProtection="1">
      <alignment horizontal="left" vertical="center" wrapText="1"/>
      <protection locked="0"/>
    </xf>
    <xf numFmtId="0" fontId="3" fillId="0" borderId="16" xfId="0" applyFont="1" applyBorder="1" applyAlignment="1" applyProtection="1">
      <alignment horizontal="left" vertical="center" wrapText="1"/>
      <protection locked="0"/>
    </xf>
    <xf numFmtId="0" fontId="3" fillId="0" borderId="15" xfId="0" applyFont="1" applyBorder="1" applyAlignment="1" applyProtection="1">
      <alignment vertical="center" wrapText="1"/>
      <protection locked="0"/>
    </xf>
    <xf numFmtId="0" fontId="0" fillId="0" borderId="15" xfId="0" applyBorder="1" applyAlignment="1" applyProtection="1">
      <alignment vertical="center"/>
      <protection locked="0"/>
    </xf>
    <xf numFmtId="0" fontId="0" fillId="0" borderId="16" xfId="0" applyBorder="1" applyAlignment="1" applyProtection="1">
      <alignment vertical="center"/>
      <protection locked="0"/>
    </xf>
    <xf numFmtId="0" fontId="3" fillId="0" borderId="14" xfId="0" applyFont="1" applyBorder="1" applyAlignment="1" applyProtection="1">
      <alignment vertical="center"/>
      <protection locked="0"/>
    </xf>
    <xf numFmtId="0" fontId="3" fillId="0" borderId="15" xfId="0" applyFont="1" applyBorder="1" applyAlignment="1" applyProtection="1">
      <alignment vertical="center"/>
      <protection locked="0"/>
    </xf>
    <xf numFmtId="0" fontId="3" fillId="0" borderId="14" xfId="0" applyFont="1" applyBorder="1" applyAlignment="1">
      <alignment horizontal="left" vertical="center" wrapText="1"/>
    </xf>
    <xf numFmtId="0" fontId="3" fillId="0" borderId="15" xfId="0" applyFont="1" applyBorder="1" applyAlignment="1">
      <alignment horizontal="left" vertical="center" wrapText="1"/>
    </xf>
    <xf numFmtId="0" fontId="3" fillId="0" borderId="16" xfId="0" applyFont="1" applyBorder="1" applyAlignment="1">
      <alignment horizontal="left" vertical="center" wrapText="1"/>
    </xf>
    <xf numFmtId="0" fontId="2" fillId="3" borderId="27" xfId="0" applyFont="1" applyFill="1" applyBorder="1" applyAlignment="1">
      <alignment horizontal="center" vertical="center" wrapText="1"/>
    </xf>
    <xf numFmtId="0" fontId="2" fillId="3" borderId="28" xfId="0" applyFont="1" applyFill="1" applyBorder="1" applyAlignment="1">
      <alignment horizontal="center" vertical="center" wrapText="1"/>
    </xf>
    <xf numFmtId="0" fontId="2" fillId="3" borderId="29" xfId="0" applyFont="1" applyFill="1" applyBorder="1" applyAlignment="1">
      <alignment horizontal="center" vertical="center" wrapText="1"/>
    </xf>
    <xf numFmtId="0" fontId="2" fillId="0" borderId="0" xfId="0" applyFont="1" applyAlignment="1">
      <alignment vertical="center"/>
    </xf>
    <xf numFmtId="0" fontId="0" fillId="0" borderId="0" xfId="0" applyAlignment="1">
      <alignment vertical="center"/>
    </xf>
    <xf numFmtId="0" fontId="3" fillId="0" borderId="15" xfId="0" applyFont="1" applyBorder="1" applyAlignment="1">
      <alignment vertical="center" wrapText="1"/>
    </xf>
    <xf numFmtId="0" fontId="0" fillId="0" borderId="15" xfId="0" applyBorder="1" applyAlignment="1">
      <alignment vertical="center"/>
    </xf>
    <xf numFmtId="0" fontId="0" fillId="0" borderId="16" xfId="0" applyBorder="1" applyAlignment="1">
      <alignment vertical="center"/>
    </xf>
    <xf numFmtId="0" fontId="3" fillId="0" borderId="8" xfId="0" applyFont="1" applyBorder="1" applyAlignment="1">
      <alignment vertical="center" wrapText="1"/>
    </xf>
    <xf numFmtId="0" fontId="0" fillId="0" borderId="0" xfId="0" applyAlignment="1">
      <alignment vertical="center" wrapText="1"/>
    </xf>
    <xf numFmtId="0" fontId="0" fillId="0" borderId="9" xfId="0" applyBorder="1" applyAlignment="1">
      <alignment vertical="center" wrapText="1"/>
    </xf>
    <xf numFmtId="0" fontId="0" fillId="0" borderId="10" xfId="0" applyBorder="1" applyAlignment="1">
      <alignment vertical="center" wrapText="1"/>
    </xf>
    <xf numFmtId="0" fontId="0" fillId="0" borderId="11" xfId="0" applyBorder="1" applyAlignment="1">
      <alignment vertical="center" wrapText="1"/>
    </xf>
    <xf numFmtId="0" fontId="0" fillId="0" borderId="12" xfId="0" applyBorder="1" applyAlignment="1">
      <alignment vertical="center" wrapText="1"/>
    </xf>
    <xf numFmtId="0" fontId="3" fillId="0" borderId="14" xfId="0" applyFont="1" applyBorder="1" applyAlignment="1">
      <alignment vertical="center" wrapText="1"/>
    </xf>
    <xf numFmtId="0" fontId="3" fillId="0" borderId="16" xfId="0" applyFont="1" applyBorder="1" applyAlignment="1">
      <alignment vertical="center" wrapText="1"/>
    </xf>
    <xf numFmtId="0" fontId="2" fillId="0" borderId="31" xfId="0" applyFont="1" applyBorder="1" applyAlignment="1">
      <alignment horizontal="center" vertical="center"/>
    </xf>
    <xf numFmtId="0" fontId="34" fillId="0" borderId="0" xfId="0" applyFont="1" applyAlignment="1">
      <alignment horizontal="center" vertical="center"/>
    </xf>
    <xf numFmtId="0" fontId="35" fillId="0" borderId="0" xfId="0" applyFont="1" applyAlignment="1">
      <alignment horizontal="center" vertical="center"/>
    </xf>
    <xf numFmtId="0" fontId="33" fillId="0" borderId="4" xfId="0" applyFont="1" applyBorder="1" applyAlignment="1">
      <alignment horizontal="center" vertical="center"/>
    </xf>
    <xf numFmtId="0" fontId="33" fillId="0" borderId="14" xfId="0" applyFont="1" applyBorder="1" applyAlignment="1">
      <alignment horizontal="center" vertical="center"/>
    </xf>
    <xf numFmtId="0" fontId="33" fillId="0" borderId="8" xfId="0" applyFont="1" applyBorder="1" applyAlignment="1">
      <alignment horizontal="center" vertical="center"/>
    </xf>
    <xf numFmtId="0" fontId="35" fillId="0" borderId="8" xfId="0" applyFont="1" applyBorder="1" applyAlignment="1">
      <alignment horizontal="center" vertical="center"/>
    </xf>
    <xf numFmtId="0" fontId="33" fillId="0" borderId="4" xfId="0" applyFont="1" applyBorder="1" applyAlignment="1" applyProtection="1">
      <alignment horizontal="center" vertical="center" shrinkToFit="1"/>
      <protection locked="0"/>
    </xf>
    <xf numFmtId="0" fontId="35" fillId="0" borderId="0" xfId="0" applyFont="1" applyAlignment="1" applyProtection="1">
      <alignment horizontal="center" vertical="center" shrinkToFit="1"/>
      <protection locked="0"/>
    </xf>
    <xf numFmtId="0" fontId="31" fillId="0" borderId="11" xfId="0" applyFont="1" applyFill="1" applyBorder="1" applyAlignment="1" applyProtection="1">
      <alignment horizontal="center" vertical="center" shrinkToFit="1"/>
      <protection locked="0"/>
    </xf>
    <xf numFmtId="0" fontId="2" fillId="0" borderId="0" xfId="0" applyFont="1" applyFill="1" applyAlignment="1" applyProtection="1">
      <alignment horizontal="center" vertical="center" shrinkToFit="1"/>
      <protection locked="0"/>
    </xf>
    <xf numFmtId="0" fontId="36" fillId="0" borderId="0" xfId="0" applyFont="1" applyFill="1" applyAlignment="1" applyProtection="1">
      <alignment horizontal="center" vertical="center" shrinkToFit="1"/>
      <protection locked="0"/>
    </xf>
    <xf numFmtId="0" fontId="36" fillId="0" borderId="11" xfId="0" applyFont="1" applyFill="1" applyBorder="1" applyAlignment="1" applyProtection="1">
      <alignment horizontal="center" vertical="center" shrinkToFit="1"/>
      <protection locked="0"/>
    </xf>
    <xf numFmtId="0" fontId="37" fillId="0" borderId="0" xfId="0" applyFont="1" applyAlignment="1">
      <alignment horizontal="center" vertical="center"/>
    </xf>
    <xf numFmtId="0" fontId="24" fillId="0" borderId="4" xfId="0" applyFont="1" applyFill="1" applyBorder="1" applyAlignment="1" applyProtection="1">
      <alignment horizontal="center" vertical="center" shrinkToFit="1"/>
      <protection locked="0"/>
    </xf>
    <xf numFmtId="0" fontId="2" fillId="0" borderId="0" xfId="0" applyFont="1" applyFill="1" applyAlignment="1">
      <alignment horizontal="center" vertical="center"/>
    </xf>
    <xf numFmtId="0" fontId="37" fillId="0" borderId="0" xfId="0" applyFont="1" applyAlignment="1" applyProtection="1">
      <alignment horizontal="center" vertical="center"/>
      <protection locked="0"/>
    </xf>
    <xf numFmtId="0" fontId="26" fillId="0" borderId="0" xfId="0" applyFont="1" applyFill="1" applyAlignment="1" applyProtection="1">
      <alignment horizontal="center" vertical="center" shrinkToFit="1"/>
      <protection locked="0"/>
    </xf>
    <xf numFmtId="0" fontId="8" fillId="0" borderId="0" xfId="0" applyFont="1" applyFill="1" applyAlignment="1" applyProtection="1">
      <alignment horizontal="center" vertical="center" shrinkToFit="1"/>
      <protection locked="0"/>
    </xf>
    <xf numFmtId="0" fontId="37" fillId="0" borderId="0" xfId="0" applyFont="1" applyAlignment="1" applyProtection="1">
      <alignment horizontal="center" vertical="center" shrinkToFit="1"/>
      <protection locked="0"/>
    </xf>
    <xf numFmtId="0" fontId="38" fillId="0" borderId="0" xfId="0" applyFont="1" applyAlignment="1" applyProtection="1">
      <alignment horizontal="center" vertical="center" shrinkToFit="1"/>
      <protection locked="0"/>
    </xf>
    <xf numFmtId="0" fontId="26" fillId="0" borderId="31" xfId="0" applyFont="1" applyBorder="1" applyAlignment="1" applyProtection="1">
      <alignment horizontal="center" vertical="center" shrinkToFit="1"/>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vertical="center" shrinkToFit="1"/>
      <protection locked="0"/>
    </xf>
    <xf numFmtId="0" fontId="26" fillId="0" borderId="0" xfId="0" applyFont="1" applyAlignment="1" applyProtection="1">
      <alignment horizontal="center" vertical="center" shrinkToFit="1"/>
      <protection locked="0"/>
    </xf>
    <xf numFmtId="0" fontId="36" fillId="0" borderId="4" xfId="0" applyFont="1" applyBorder="1" applyAlignment="1">
      <alignment horizontal="center" vertical="center"/>
    </xf>
    <xf numFmtId="0" fontId="36" fillId="0" borderId="4" xfId="0" applyFont="1" applyBorder="1" applyAlignment="1" applyProtection="1">
      <alignment horizontal="center" vertical="center" shrinkToFit="1"/>
      <protection locked="0"/>
    </xf>
    <xf numFmtId="0" fontId="32" fillId="0" borderId="15" xfId="0" applyFont="1" applyFill="1" applyBorder="1" applyAlignment="1" applyProtection="1">
      <alignment horizontal="center" vertical="center" shrinkToFit="1"/>
      <protection locked="0"/>
    </xf>
    <xf numFmtId="0" fontId="39" fillId="0" borderId="4" xfId="0" applyFont="1" applyFill="1" applyBorder="1" applyAlignment="1" applyProtection="1">
      <alignment horizontal="center" vertical="center" shrinkToFit="1"/>
      <protection locked="0"/>
    </xf>
    <xf numFmtId="0" fontId="40" fillId="0" borderId="4" xfId="0" applyFont="1" applyFill="1" applyBorder="1" applyAlignment="1" applyProtection="1">
      <alignment horizontal="center" vertical="center" shrinkToFit="1"/>
      <protection locked="0"/>
    </xf>
    <xf numFmtId="0" fontId="40" fillId="0" borderId="4" xfId="0" applyFont="1" applyBorder="1" applyAlignment="1">
      <alignment horizontal="center" vertical="center"/>
    </xf>
    <xf numFmtId="0" fontId="40" fillId="0" borderId="4" xfId="0" applyFont="1" applyBorder="1" applyAlignment="1" applyProtection="1">
      <alignment horizontal="center" vertical="center" shrinkToFit="1"/>
      <protection locked="0"/>
    </xf>
    <xf numFmtId="0" fontId="39" fillId="0" borderId="4" xfId="0" applyFont="1" applyBorder="1" applyAlignment="1" applyProtection="1">
      <alignment horizontal="center" vertical="center" shrinkToFit="1"/>
      <protection locked="0"/>
    </xf>
    <xf numFmtId="0" fontId="41" fillId="0" borderId="15" xfId="0" applyFont="1" applyFill="1" applyBorder="1" applyAlignment="1" applyProtection="1">
      <alignment horizontal="center" vertical="center" shrinkToFit="1"/>
      <protection locked="0"/>
    </xf>
    <xf numFmtId="0" fontId="42" fillId="0" borderId="4" xfId="0" applyFont="1" applyFill="1" applyBorder="1" applyAlignment="1" applyProtection="1">
      <alignment horizontal="center" vertical="center" shrinkToFit="1"/>
      <protection locked="0"/>
    </xf>
    <xf numFmtId="0" fontId="43" fillId="0" borderId="4" xfId="0" applyFont="1" applyBorder="1" applyAlignment="1">
      <alignment horizontal="center" vertical="center"/>
    </xf>
    <xf numFmtId="0" fontId="42" fillId="0" borderId="4" xfId="0" applyFont="1" applyBorder="1" applyAlignment="1" applyProtection="1">
      <alignment horizontal="center" vertical="center" shrinkToFit="1"/>
      <protection locked="0"/>
    </xf>
    <xf numFmtId="0" fontId="44" fillId="0" borderId="15" xfId="0" applyFont="1" applyFill="1" applyBorder="1" applyAlignment="1" applyProtection="1">
      <alignment horizontal="center" vertical="center" shrinkToFit="1"/>
      <protection locked="0"/>
    </xf>
    <xf numFmtId="0" fontId="45" fillId="0" borderId="4" xfId="0" applyFont="1" applyFill="1" applyBorder="1" applyAlignment="1" applyProtection="1">
      <alignment horizontal="center" vertical="center" shrinkToFit="1"/>
      <protection locked="0"/>
    </xf>
    <xf numFmtId="0" fontId="46" fillId="0" borderId="4" xfId="0" applyFont="1" applyFill="1" applyBorder="1" applyAlignment="1" applyProtection="1">
      <alignment horizontal="center" vertical="center" shrinkToFit="1"/>
      <protection locked="0"/>
    </xf>
    <xf numFmtId="0" fontId="46" fillId="0" borderId="4" xfId="0" applyFont="1" applyBorder="1" applyAlignment="1">
      <alignment horizontal="center" vertical="center"/>
    </xf>
    <xf numFmtId="0" fontId="45" fillId="0" borderId="4" xfId="0" applyFont="1" applyBorder="1" applyAlignment="1" applyProtection="1">
      <alignment horizontal="center" vertical="center" shrinkToFit="1"/>
      <protection locked="0"/>
    </xf>
  </cellXfs>
  <cellStyles count="2">
    <cellStyle name="Normal" xfId="0" builtinId="0"/>
    <cellStyle name="Normal 2" xfId="1" xr:uid="{00000000-0005-0000-0000-000001000000}"/>
  </cellStyles>
  <dxfs count="0"/>
  <tableStyles count="0" defaultTableStyle="TableStyleMedium9" defaultPivotStyle="PivotStyleLight16"/>
  <colors>
    <mruColors>
      <color rgb="FF81ABFF"/>
      <color rgb="FFE7F1D7"/>
      <color rgb="FF99CCFF"/>
      <color rgb="FFF9B67F"/>
      <color rgb="FF99FF99"/>
      <color rgb="FFF9B073"/>
      <color rgb="FF8FB4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41</xdr:col>
      <xdr:colOff>13854</xdr:colOff>
      <xdr:row>64</xdr:row>
      <xdr:rowOff>33867</xdr:rowOff>
    </xdr:from>
    <xdr:to>
      <xdr:col>43</xdr:col>
      <xdr:colOff>33868</xdr:colOff>
      <xdr:row>65</xdr:row>
      <xdr:rowOff>180606</xdr:rowOff>
    </xdr:to>
    <xdr:sp macro="" textlink="">
      <xdr:nvSpPr>
        <xdr:cNvPr id="6" name="Arrow: Pentagon 5">
          <a:extLst>
            <a:ext uri="{FF2B5EF4-FFF2-40B4-BE49-F238E27FC236}">
              <a16:creationId xmlns:a16="http://schemas.microsoft.com/office/drawing/2014/main" id="{AF135272-B308-45EB-9F0B-B4647136944A}"/>
            </a:ext>
          </a:extLst>
        </xdr:cNvPr>
        <xdr:cNvSpPr/>
      </xdr:nvSpPr>
      <xdr:spPr>
        <a:xfrm>
          <a:off x="11807921" y="11379200"/>
          <a:ext cx="612680" cy="341473"/>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t>wire bundle</a:t>
          </a:r>
        </a:p>
      </xdr:txBody>
    </xdr:sp>
    <xdr:clientData/>
  </xdr:twoCellAnchor>
  <xdr:twoCellAnchor>
    <xdr:from>
      <xdr:col>19</xdr:col>
      <xdr:colOff>16933</xdr:colOff>
      <xdr:row>64</xdr:row>
      <xdr:rowOff>16932</xdr:rowOff>
    </xdr:from>
    <xdr:to>
      <xdr:col>21</xdr:col>
      <xdr:colOff>36947</xdr:colOff>
      <xdr:row>65</xdr:row>
      <xdr:rowOff>163671</xdr:rowOff>
    </xdr:to>
    <xdr:sp macro="" textlink="">
      <xdr:nvSpPr>
        <xdr:cNvPr id="8" name="Arrow: Pentagon 7">
          <a:extLst>
            <a:ext uri="{FF2B5EF4-FFF2-40B4-BE49-F238E27FC236}">
              <a16:creationId xmlns:a16="http://schemas.microsoft.com/office/drawing/2014/main" id="{E09F9CB1-76B4-4808-AFCA-BAE964FEAE2E}"/>
            </a:ext>
          </a:extLst>
        </xdr:cNvPr>
        <xdr:cNvSpPr/>
      </xdr:nvSpPr>
      <xdr:spPr>
        <a:xfrm>
          <a:off x="5588000" y="11362265"/>
          <a:ext cx="612680" cy="341473"/>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t>wire bundle</a:t>
          </a:r>
        </a:p>
      </xdr:txBody>
    </xdr:sp>
    <xdr:clientData/>
  </xdr:twoCellAnchor>
  <xdr:twoCellAnchor>
    <xdr:from>
      <xdr:col>64</xdr:col>
      <xdr:colOff>13854</xdr:colOff>
      <xdr:row>64</xdr:row>
      <xdr:rowOff>33867</xdr:rowOff>
    </xdr:from>
    <xdr:to>
      <xdr:col>66</xdr:col>
      <xdr:colOff>33868</xdr:colOff>
      <xdr:row>65</xdr:row>
      <xdr:rowOff>180606</xdr:rowOff>
    </xdr:to>
    <xdr:sp macro="" textlink="">
      <xdr:nvSpPr>
        <xdr:cNvPr id="9" name="Arrow: Pentagon 8">
          <a:extLst>
            <a:ext uri="{FF2B5EF4-FFF2-40B4-BE49-F238E27FC236}">
              <a16:creationId xmlns:a16="http://schemas.microsoft.com/office/drawing/2014/main" id="{6E9EF6E4-5EC0-454F-BF88-1AAD43FBCC04}"/>
            </a:ext>
          </a:extLst>
        </xdr:cNvPr>
        <xdr:cNvSpPr/>
      </xdr:nvSpPr>
      <xdr:spPr>
        <a:xfrm>
          <a:off x="11807921" y="11379200"/>
          <a:ext cx="612680" cy="341473"/>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t>wire bundle</a:t>
          </a:r>
        </a:p>
      </xdr:txBody>
    </xdr:sp>
    <xdr:clientData/>
  </xdr:twoCellAnchor>
  <xdr:twoCellAnchor>
    <xdr:from>
      <xdr:col>33</xdr:col>
      <xdr:colOff>243568</xdr:colOff>
      <xdr:row>19</xdr:row>
      <xdr:rowOff>16631</xdr:rowOff>
    </xdr:from>
    <xdr:to>
      <xdr:col>35</xdr:col>
      <xdr:colOff>292158</xdr:colOff>
      <xdr:row>21</xdr:row>
      <xdr:rowOff>17688</xdr:rowOff>
    </xdr:to>
    <xdr:sp macro="" textlink="">
      <xdr:nvSpPr>
        <xdr:cNvPr id="16" name="Arrow: Pentagon 15">
          <a:extLst>
            <a:ext uri="{FF2B5EF4-FFF2-40B4-BE49-F238E27FC236}">
              <a16:creationId xmlns:a16="http://schemas.microsoft.com/office/drawing/2014/main" id="{D66781EF-07DA-44D7-AD38-E9ECEBA2E187}"/>
            </a:ext>
          </a:extLst>
        </xdr:cNvPr>
        <xdr:cNvSpPr/>
      </xdr:nvSpPr>
      <xdr:spPr>
        <a:xfrm flipH="1">
          <a:off x="9942739" y="3979031"/>
          <a:ext cx="636419" cy="392943"/>
        </a:xfrm>
        <a:prstGeom prst="homePlate">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 lastClr="FFFFFF"/>
              </a:solidFill>
              <a:effectLst/>
              <a:uLnTx/>
              <a:uFillTx/>
              <a:latin typeface="Calibri" panose="020F0502020204030204"/>
              <a:ea typeface="+mn-ea"/>
              <a:cs typeface="+mn-cs"/>
            </a:rPr>
            <a:t>wire bundle</a:t>
          </a:r>
        </a:p>
      </xdr:txBody>
    </xdr:sp>
    <xdr:clientData/>
  </xdr:twoCellAnchor>
  <xdr:twoCellAnchor>
    <xdr:from>
      <xdr:col>33</xdr:col>
      <xdr:colOff>224065</xdr:colOff>
      <xdr:row>36</xdr:row>
      <xdr:rowOff>14968</xdr:rowOff>
    </xdr:from>
    <xdr:to>
      <xdr:col>35</xdr:col>
      <xdr:colOff>280063</xdr:colOff>
      <xdr:row>38</xdr:row>
      <xdr:rowOff>5443</xdr:rowOff>
    </xdr:to>
    <xdr:sp macro="" textlink="">
      <xdr:nvSpPr>
        <xdr:cNvPr id="17" name="Arrow: Pentagon 16">
          <a:extLst>
            <a:ext uri="{FF2B5EF4-FFF2-40B4-BE49-F238E27FC236}">
              <a16:creationId xmlns:a16="http://schemas.microsoft.com/office/drawing/2014/main" id="{923A4B25-9ABB-4FDD-8F60-4BEAF4E7766F}"/>
            </a:ext>
          </a:extLst>
        </xdr:cNvPr>
        <xdr:cNvSpPr/>
      </xdr:nvSpPr>
      <xdr:spPr>
        <a:xfrm flipH="1">
          <a:off x="9923236" y="7308397"/>
          <a:ext cx="643827" cy="382360"/>
        </a:xfrm>
        <a:prstGeom prst="homePlate">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 lastClr="FFFFFF"/>
              </a:solidFill>
              <a:effectLst/>
              <a:uLnTx/>
              <a:uFillTx/>
              <a:latin typeface="Calibri" panose="020F0502020204030204"/>
              <a:ea typeface="+mn-ea"/>
              <a:cs typeface="+mn-cs"/>
            </a:rPr>
            <a:t>wire bundle</a:t>
          </a:r>
        </a:p>
      </xdr:txBody>
    </xdr:sp>
    <xdr:clientData/>
  </xdr:twoCellAnchor>
  <xdr:twoCellAnchor editAs="oneCell">
    <xdr:from>
      <xdr:col>0</xdr:col>
      <xdr:colOff>101299</xdr:colOff>
      <xdr:row>0</xdr:row>
      <xdr:rowOff>117929</xdr:rowOff>
    </xdr:from>
    <xdr:to>
      <xdr:col>6</xdr:col>
      <xdr:colOff>2874</xdr:colOff>
      <xdr:row>2</xdr:row>
      <xdr:rowOff>76110</xdr:rowOff>
    </xdr:to>
    <xdr:pic>
      <xdr:nvPicPr>
        <xdr:cNvPr id="10" name="Picture 9">
          <a:extLst>
            <a:ext uri="{FF2B5EF4-FFF2-40B4-BE49-F238E27FC236}">
              <a16:creationId xmlns:a16="http://schemas.microsoft.com/office/drawing/2014/main" id="{95A962ED-BFA5-4564-5D17-58CCA08DE32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1299" y="117929"/>
          <a:ext cx="1616075" cy="360348"/>
        </a:xfrm>
        <a:prstGeom prst="rect">
          <a:avLst/>
        </a:prstGeom>
        <a:noFill/>
        <a:ln>
          <a:noFill/>
        </a:ln>
      </xdr:spPr>
    </xdr:pic>
    <xdr:clientData/>
  </xdr:twoCellAnchor>
  <xdr:twoCellAnchor>
    <xdr:from>
      <xdr:col>19</xdr:col>
      <xdr:colOff>200025</xdr:colOff>
      <xdr:row>77</xdr:row>
      <xdr:rowOff>152400</xdr:rowOff>
    </xdr:from>
    <xdr:to>
      <xdr:col>22</xdr:col>
      <xdr:colOff>0</xdr:colOff>
      <xdr:row>79</xdr:row>
      <xdr:rowOff>19050</xdr:rowOff>
    </xdr:to>
    <xdr:sp macro="" textlink="">
      <xdr:nvSpPr>
        <xdr:cNvPr id="2" name="Oval 1">
          <a:extLst>
            <a:ext uri="{FF2B5EF4-FFF2-40B4-BE49-F238E27FC236}">
              <a16:creationId xmlns:a16="http://schemas.microsoft.com/office/drawing/2014/main" id="{5F11E9C9-A937-0A0F-EDB6-76CAEF8E9C2F}"/>
            </a:ext>
          </a:extLst>
        </xdr:cNvPr>
        <xdr:cNvSpPr/>
      </xdr:nvSpPr>
      <xdr:spPr>
        <a:xfrm>
          <a:off x="5810250" y="15268575"/>
          <a:ext cx="685800" cy="247650"/>
        </a:xfrm>
        <a:prstGeom prst="ellipse">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57"/>
  <sheetViews>
    <sheetView zoomScale="75" zoomScaleNormal="75" workbookViewId="0">
      <selection activeCell="V15" sqref="V15"/>
    </sheetView>
  </sheetViews>
  <sheetFormatPr defaultColWidth="8.6640625" defaultRowHeight="13.2" x14ac:dyDescent="0.25"/>
  <cols>
    <col min="1" max="1" width="22.44140625" style="31" customWidth="1"/>
    <col min="2" max="2" width="8.6640625" style="31" customWidth="1"/>
    <col min="3" max="3" width="8.6640625" style="31"/>
    <col min="4" max="4" width="11.6640625" customWidth="1"/>
    <col min="7" max="7" width="22.6640625" customWidth="1"/>
  </cols>
  <sheetData>
    <row r="1" spans="1:4" x14ac:dyDescent="0.25">
      <c r="A1" s="35" t="s">
        <v>548</v>
      </c>
      <c r="B1" s="33" t="s">
        <v>549</v>
      </c>
      <c r="C1" s="34" t="s">
        <v>0</v>
      </c>
      <c r="D1" s="36" t="s">
        <v>550</v>
      </c>
    </row>
    <row r="2" spans="1:4" x14ac:dyDescent="0.25">
      <c r="A2" s="31" t="s">
        <v>268</v>
      </c>
      <c r="B2" s="32" t="s">
        <v>292</v>
      </c>
      <c r="C2" s="89">
        <v>5</v>
      </c>
      <c r="D2" s="89">
        <v>31</v>
      </c>
    </row>
    <row r="3" spans="1:4" x14ac:dyDescent="0.25">
      <c r="A3" s="31" t="s">
        <v>267</v>
      </c>
      <c r="B3" s="32" t="s">
        <v>293</v>
      </c>
      <c r="C3" s="89">
        <v>14</v>
      </c>
      <c r="D3" s="89">
        <v>26</v>
      </c>
    </row>
    <row r="4" spans="1:4" x14ac:dyDescent="0.25">
      <c r="A4" s="31" t="s">
        <v>266</v>
      </c>
      <c r="B4" s="32" t="s">
        <v>294</v>
      </c>
      <c r="C4" s="89">
        <v>25</v>
      </c>
      <c r="D4" s="89">
        <v>33</v>
      </c>
    </row>
    <row r="5" spans="1:4" x14ac:dyDescent="0.25">
      <c r="A5" s="31" t="s">
        <v>265</v>
      </c>
      <c r="B5" s="32" t="s">
        <v>295</v>
      </c>
      <c r="C5" s="89">
        <v>38</v>
      </c>
      <c r="D5" s="89">
        <v>33</v>
      </c>
    </row>
    <row r="6" spans="1:4" x14ac:dyDescent="0.25">
      <c r="A6" s="31" t="s">
        <v>264</v>
      </c>
      <c r="B6" s="32" t="s">
        <v>296</v>
      </c>
      <c r="C6" s="89">
        <v>53</v>
      </c>
      <c r="D6" s="89">
        <v>35</v>
      </c>
    </row>
    <row r="7" spans="1:4" x14ac:dyDescent="0.25">
      <c r="A7" s="31" t="s">
        <v>263</v>
      </c>
      <c r="B7" s="32" t="s">
        <v>297</v>
      </c>
      <c r="C7" s="89">
        <v>70</v>
      </c>
      <c r="D7" s="89">
        <v>35</v>
      </c>
    </row>
    <row r="8" spans="1:4" x14ac:dyDescent="0.25">
      <c r="A8" s="31" t="s">
        <v>282</v>
      </c>
      <c r="B8" s="32" t="s">
        <v>298</v>
      </c>
      <c r="C8" s="89">
        <v>6</v>
      </c>
      <c r="D8" s="89">
        <v>23</v>
      </c>
    </row>
    <row r="9" spans="1:4" x14ac:dyDescent="0.25">
      <c r="A9" s="31" t="s">
        <v>281</v>
      </c>
      <c r="B9" s="32" t="s">
        <v>299</v>
      </c>
      <c r="C9" s="89">
        <v>15</v>
      </c>
      <c r="D9" s="89">
        <v>27</v>
      </c>
    </row>
    <row r="10" spans="1:4" x14ac:dyDescent="0.25">
      <c r="A10" s="31" t="s">
        <v>280</v>
      </c>
      <c r="B10" s="32" t="s">
        <v>300</v>
      </c>
      <c r="C10" s="89">
        <v>26</v>
      </c>
      <c r="D10" s="89">
        <v>34</v>
      </c>
    </row>
    <row r="11" spans="1:4" x14ac:dyDescent="0.25">
      <c r="A11" s="31" t="s">
        <v>23</v>
      </c>
      <c r="B11" s="32" t="s">
        <v>301</v>
      </c>
      <c r="C11" s="89">
        <v>39</v>
      </c>
      <c r="D11" s="89">
        <v>34</v>
      </c>
    </row>
    <row r="12" spans="1:4" x14ac:dyDescent="0.25">
      <c r="A12" s="31" t="s">
        <v>24</v>
      </c>
      <c r="B12" s="32" t="s">
        <v>302</v>
      </c>
      <c r="C12" s="89">
        <v>54</v>
      </c>
      <c r="D12" s="89">
        <v>23</v>
      </c>
    </row>
    <row r="13" spans="1:4" x14ac:dyDescent="0.25">
      <c r="A13" s="31" t="s">
        <v>25</v>
      </c>
      <c r="B13" s="32" t="s">
        <v>303</v>
      </c>
      <c r="C13" s="89">
        <v>71</v>
      </c>
      <c r="D13" s="89">
        <v>36</v>
      </c>
    </row>
    <row r="14" spans="1:4" x14ac:dyDescent="0.25">
      <c r="A14" s="31" t="s">
        <v>26</v>
      </c>
      <c r="B14" s="32" t="s">
        <v>304</v>
      </c>
      <c r="C14" s="89">
        <v>7</v>
      </c>
      <c r="D14" s="89">
        <v>34</v>
      </c>
    </row>
    <row r="15" spans="1:4" x14ac:dyDescent="0.25">
      <c r="A15" s="31" t="s">
        <v>27</v>
      </c>
      <c r="B15" s="32" t="s">
        <v>305</v>
      </c>
      <c r="C15" s="89">
        <v>16</v>
      </c>
      <c r="D15" s="89">
        <v>32</v>
      </c>
    </row>
    <row r="16" spans="1:4" x14ac:dyDescent="0.25">
      <c r="A16" s="31" t="s">
        <v>28</v>
      </c>
      <c r="B16" s="32" t="s">
        <v>306</v>
      </c>
      <c r="C16" s="89">
        <v>27</v>
      </c>
      <c r="D16" s="89">
        <v>34</v>
      </c>
    </row>
    <row r="17" spans="1:4" x14ac:dyDescent="0.25">
      <c r="A17" s="31" t="s">
        <v>29</v>
      </c>
      <c r="B17" s="32" t="s">
        <v>307</v>
      </c>
      <c r="C17" s="89">
        <v>40</v>
      </c>
      <c r="D17" s="89">
        <v>35</v>
      </c>
    </row>
    <row r="18" spans="1:4" x14ac:dyDescent="0.25">
      <c r="A18" s="31" t="s">
        <v>30</v>
      </c>
      <c r="B18" s="32" t="s">
        <v>308</v>
      </c>
      <c r="C18" s="89">
        <v>55</v>
      </c>
      <c r="D18" s="89">
        <v>32</v>
      </c>
    </row>
    <row r="19" spans="1:4" x14ac:dyDescent="0.25">
      <c r="A19" s="31" t="s">
        <v>31</v>
      </c>
      <c r="B19" s="32" t="s">
        <v>309</v>
      </c>
      <c r="C19" s="89">
        <v>8</v>
      </c>
      <c r="D19" s="89">
        <v>25</v>
      </c>
    </row>
    <row r="20" spans="1:4" x14ac:dyDescent="0.25">
      <c r="A20" s="31" t="s">
        <v>32</v>
      </c>
      <c r="B20" s="32" t="s">
        <v>310</v>
      </c>
      <c r="C20" s="89">
        <v>17</v>
      </c>
      <c r="D20" s="89">
        <v>26</v>
      </c>
    </row>
    <row r="21" spans="1:4" x14ac:dyDescent="0.25">
      <c r="A21" s="31" t="s">
        <v>33</v>
      </c>
      <c r="B21" s="32" t="s">
        <v>311</v>
      </c>
      <c r="C21" s="89">
        <v>28</v>
      </c>
      <c r="D21" s="89">
        <v>22</v>
      </c>
    </row>
    <row r="22" spans="1:4" x14ac:dyDescent="0.25">
      <c r="A22" s="31" t="s">
        <v>34</v>
      </c>
      <c r="B22" s="32" t="s">
        <v>312</v>
      </c>
      <c r="C22" s="89">
        <v>41</v>
      </c>
      <c r="D22" s="89">
        <v>31</v>
      </c>
    </row>
    <row r="23" spans="1:4" x14ac:dyDescent="0.25">
      <c r="A23" s="31" t="s">
        <v>35</v>
      </c>
      <c r="B23" s="32" t="s">
        <v>313</v>
      </c>
      <c r="C23" s="89">
        <v>56</v>
      </c>
      <c r="D23" s="89">
        <v>24</v>
      </c>
    </row>
    <row r="24" spans="1:4" x14ac:dyDescent="0.25">
      <c r="A24" s="31" t="s">
        <v>36</v>
      </c>
      <c r="B24" s="32" t="s">
        <v>314</v>
      </c>
      <c r="C24" s="89">
        <v>18</v>
      </c>
      <c r="D24" s="89">
        <v>33</v>
      </c>
    </row>
    <row r="25" spans="1:4" x14ac:dyDescent="0.25">
      <c r="A25" s="31" t="s">
        <v>37</v>
      </c>
      <c r="B25" s="32" t="s">
        <v>315</v>
      </c>
      <c r="C25" s="89">
        <v>29</v>
      </c>
      <c r="D25" s="89">
        <v>27</v>
      </c>
    </row>
    <row r="26" spans="1:4" x14ac:dyDescent="0.25">
      <c r="A26" s="31" t="s">
        <v>38</v>
      </c>
      <c r="B26" s="32" t="s">
        <v>316</v>
      </c>
      <c r="C26" s="89">
        <v>42</v>
      </c>
      <c r="D26" s="89">
        <v>26</v>
      </c>
    </row>
    <row r="27" spans="1:4" x14ac:dyDescent="0.25">
      <c r="A27" s="31" t="s">
        <v>39</v>
      </c>
      <c r="B27" s="32" t="s">
        <v>317</v>
      </c>
      <c r="C27" s="89">
        <v>57</v>
      </c>
      <c r="D27" s="89">
        <v>34</v>
      </c>
    </row>
    <row r="28" spans="1:4" x14ac:dyDescent="0.25">
      <c r="A28" s="31" t="s">
        <v>40</v>
      </c>
      <c r="B28" s="32" t="s">
        <v>318</v>
      </c>
      <c r="C28" s="89">
        <v>30</v>
      </c>
      <c r="D28" s="89">
        <v>26</v>
      </c>
    </row>
    <row r="29" spans="1:4" x14ac:dyDescent="0.25">
      <c r="A29" s="31" t="s">
        <v>41</v>
      </c>
      <c r="B29" s="32" t="s">
        <v>319</v>
      </c>
      <c r="C29" s="89">
        <v>43</v>
      </c>
      <c r="D29" s="89">
        <v>33</v>
      </c>
    </row>
    <row r="30" spans="1:4" x14ac:dyDescent="0.25">
      <c r="A30" s="31" t="s">
        <v>42</v>
      </c>
      <c r="B30" s="32" t="s">
        <v>320</v>
      </c>
      <c r="C30" s="89">
        <v>58</v>
      </c>
      <c r="D30" s="89">
        <v>27</v>
      </c>
    </row>
    <row r="31" spans="1:4" x14ac:dyDescent="0.25">
      <c r="A31" s="31" t="s">
        <v>43</v>
      </c>
      <c r="B31" s="32" t="s">
        <v>321</v>
      </c>
      <c r="C31" s="89">
        <v>44</v>
      </c>
      <c r="D31" s="89">
        <v>25</v>
      </c>
    </row>
    <row r="32" spans="1:4" x14ac:dyDescent="0.25">
      <c r="A32" s="31" t="s">
        <v>44</v>
      </c>
      <c r="B32" s="32" t="s">
        <v>322</v>
      </c>
      <c r="C32" s="89">
        <v>59</v>
      </c>
      <c r="D32" s="89">
        <v>30</v>
      </c>
    </row>
    <row r="33" spans="1:4" x14ac:dyDescent="0.25">
      <c r="A33" s="31" t="s">
        <v>45</v>
      </c>
      <c r="B33" s="32" t="s">
        <v>323</v>
      </c>
      <c r="C33" s="89">
        <v>60</v>
      </c>
      <c r="D33" s="89">
        <v>36</v>
      </c>
    </row>
    <row r="34" spans="1:4" x14ac:dyDescent="0.25">
      <c r="A34" s="31" t="s">
        <v>260</v>
      </c>
      <c r="B34" s="32" t="s">
        <v>324</v>
      </c>
      <c r="C34" s="89">
        <v>124</v>
      </c>
      <c r="D34" s="89">
        <v>22</v>
      </c>
    </row>
    <row r="35" spans="1:4" x14ac:dyDescent="0.25">
      <c r="A35" s="31" t="s">
        <v>261</v>
      </c>
      <c r="B35" s="32" t="s">
        <v>325</v>
      </c>
      <c r="C35" s="89">
        <v>106</v>
      </c>
      <c r="D35" s="89">
        <v>32</v>
      </c>
    </row>
    <row r="36" spans="1:4" x14ac:dyDescent="0.25">
      <c r="A36" s="31" t="s">
        <v>262</v>
      </c>
      <c r="B36" s="32" t="s">
        <v>326</v>
      </c>
      <c r="C36" s="89">
        <v>88</v>
      </c>
      <c r="D36" s="89">
        <v>33</v>
      </c>
    </row>
    <row r="37" spans="1:4" x14ac:dyDescent="0.25">
      <c r="A37" s="31" t="s">
        <v>277</v>
      </c>
      <c r="B37" s="32" t="s">
        <v>327</v>
      </c>
      <c r="C37" s="89">
        <v>125</v>
      </c>
      <c r="D37" s="89">
        <v>30</v>
      </c>
    </row>
    <row r="38" spans="1:4" x14ac:dyDescent="0.25">
      <c r="A38" s="31" t="s">
        <v>278</v>
      </c>
      <c r="B38" s="32" t="s">
        <v>328</v>
      </c>
      <c r="C38" s="89">
        <v>107</v>
      </c>
      <c r="D38" s="89">
        <v>28</v>
      </c>
    </row>
    <row r="39" spans="1:4" x14ac:dyDescent="0.25">
      <c r="A39" s="31" t="s">
        <v>279</v>
      </c>
      <c r="B39" s="32" t="s">
        <v>329</v>
      </c>
      <c r="C39" s="89">
        <v>89</v>
      </c>
      <c r="D39" s="89">
        <v>30</v>
      </c>
    </row>
    <row r="40" spans="1:4" x14ac:dyDescent="0.25">
      <c r="A40" s="31" t="s">
        <v>285</v>
      </c>
      <c r="B40" s="32" t="s">
        <v>330</v>
      </c>
      <c r="C40" s="89">
        <v>126</v>
      </c>
      <c r="D40" s="89">
        <v>25</v>
      </c>
    </row>
    <row r="41" spans="1:4" x14ac:dyDescent="0.25">
      <c r="A41" s="31" t="s">
        <v>286</v>
      </c>
      <c r="B41" s="32" t="s">
        <v>331</v>
      </c>
      <c r="C41" s="89">
        <v>108</v>
      </c>
      <c r="D41" s="89">
        <v>21</v>
      </c>
    </row>
    <row r="42" spans="1:4" x14ac:dyDescent="0.25">
      <c r="A42" s="31" t="s">
        <v>287</v>
      </c>
      <c r="B42" s="32" t="s">
        <v>332</v>
      </c>
      <c r="C42" s="89">
        <v>90</v>
      </c>
      <c r="D42" s="89">
        <v>28</v>
      </c>
    </row>
    <row r="43" spans="1:4" x14ac:dyDescent="0.25">
      <c r="A43" s="31" t="s">
        <v>51</v>
      </c>
      <c r="B43" s="32" t="s">
        <v>333</v>
      </c>
      <c r="C43" s="89">
        <v>72</v>
      </c>
      <c r="D43" s="89">
        <v>38</v>
      </c>
    </row>
    <row r="44" spans="1:4" x14ac:dyDescent="0.25">
      <c r="A44" s="31" t="s">
        <v>58</v>
      </c>
      <c r="B44" s="32" t="s">
        <v>334</v>
      </c>
      <c r="C44" s="89">
        <v>127</v>
      </c>
      <c r="D44" s="89">
        <v>40</v>
      </c>
    </row>
    <row r="45" spans="1:4" x14ac:dyDescent="0.25">
      <c r="A45" s="31" t="s">
        <v>65</v>
      </c>
      <c r="B45" s="32" t="s">
        <v>335</v>
      </c>
      <c r="C45" s="89">
        <v>109</v>
      </c>
      <c r="D45" s="89">
        <v>37</v>
      </c>
    </row>
    <row r="46" spans="1:4" x14ac:dyDescent="0.25">
      <c r="A46" s="31" t="s">
        <v>72</v>
      </c>
      <c r="B46" s="32" t="s">
        <v>336</v>
      </c>
      <c r="C46" s="89">
        <v>91</v>
      </c>
      <c r="D46" s="89">
        <v>38</v>
      </c>
    </row>
    <row r="47" spans="1:4" x14ac:dyDescent="0.25">
      <c r="A47" s="31" t="s">
        <v>79</v>
      </c>
      <c r="B47" s="32" t="s">
        <v>337</v>
      </c>
      <c r="C47" s="89">
        <v>73</v>
      </c>
      <c r="D47" s="89">
        <v>43</v>
      </c>
    </row>
    <row r="48" spans="1:4" x14ac:dyDescent="0.25">
      <c r="A48" s="31" t="s">
        <v>86</v>
      </c>
      <c r="B48" s="32" t="s">
        <v>338</v>
      </c>
      <c r="C48" s="89">
        <v>128</v>
      </c>
      <c r="D48" s="89">
        <v>39</v>
      </c>
    </row>
    <row r="49" spans="1:4" x14ac:dyDescent="0.25">
      <c r="A49" s="31" t="s">
        <v>93</v>
      </c>
      <c r="B49" s="32" t="s">
        <v>339</v>
      </c>
      <c r="C49" s="89">
        <v>110</v>
      </c>
      <c r="D49" s="89">
        <v>32</v>
      </c>
    </row>
    <row r="50" spans="1:4" x14ac:dyDescent="0.25">
      <c r="A50" s="31" t="s">
        <v>100</v>
      </c>
      <c r="B50" s="32" t="s">
        <v>340</v>
      </c>
      <c r="C50" s="89">
        <v>92</v>
      </c>
      <c r="D50" s="89">
        <v>22</v>
      </c>
    </row>
    <row r="51" spans="1:4" x14ac:dyDescent="0.25">
      <c r="A51" s="31" t="s">
        <v>107</v>
      </c>
      <c r="B51" s="32" t="s">
        <v>341</v>
      </c>
      <c r="C51" s="89">
        <v>74</v>
      </c>
      <c r="D51" s="89">
        <v>36</v>
      </c>
    </row>
    <row r="52" spans="1:4" x14ac:dyDescent="0.25">
      <c r="A52" s="31" t="s">
        <v>114</v>
      </c>
      <c r="B52" s="32" t="s">
        <v>342</v>
      </c>
      <c r="C52" s="89">
        <v>129</v>
      </c>
      <c r="D52" s="89">
        <v>44</v>
      </c>
    </row>
    <row r="53" spans="1:4" x14ac:dyDescent="0.25">
      <c r="A53" s="31" t="s">
        <v>121</v>
      </c>
      <c r="B53" s="32" t="s">
        <v>343</v>
      </c>
      <c r="C53" s="89">
        <v>111</v>
      </c>
      <c r="D53" s="89">
        <v>32</v>
      </c>
    </row>
    <row r="54" spans="1:4" x14ac:dyDescent="0.25">
      <c r="A54" s="31" t="s">
        <v>128</v>
      </c>
      <c r="B54" s="32" t="s">
        <v>344</v>
      </c>
      <c r="C54" s="89">
        <v>93</v>
      </c>
      <c r="D54" s="89">
        <v>26</v>
      </c>
    </row>
    <row r="55" spans="1:4" x14ac:dyDescent="0.25">
      <c r="A55" s="31" t="s">
        <v>135</v>
      </c>
      <c r="B55" s="32" t="s">
        <v>345</v>
      </c>
      <c r="C55" s="89">
        <v>75</v>
      </c>
      <c r="D55" s="89">
        <v>30</v>
      </c>
    </row>
    <row r="56" spans="1:4" x14ac:dyDescent="0.25">
      <c r="A56" s="31" t="s">
        <v>142</v>
      </c>
      <c r="B56" s="32" t="s">
        <v>346</v>
      </c>
      <c r="C56" s="89">
        <v>130</v>
      </c>
      <c r="D56" s="89">
        <v>34</v>
      </c>
    </row>
    <row r="57" spans="1:4" x14ac:dyDescent="0.25">
      <c r="A57" s="31" t="s">
        <v>148</v>
      </c>
      <c r="B57" s="32" t="s">
        <v>347</v>
      </c>
      <c r="C57" s="89">
        <v>112</v>
      </c>
      <c r="D57" s="89">
        <v>23</v>
      </c>
    </row>
    <row r="58" spans="1:4" x14ac:dyDescent="0.25">
      <c r="A58" s="31" t="s">
        <v>155</v>
      </c>
      <c r="B58" s="32" t="s">
        <v>348</v>
      </c>
      <c r="C58" s="89">
        <v>94</v>
      </c>
      <c r="D58" s="89">
        <v>36</v>
      </c>
    </row>
    <row r="59" spans="1:4" x14ac:dyDescent="0.25">
      <c r="A59" s="31" t="s">
        <v>162</v>
      </c>
      <c r="B59" s="32" t="s">
        <v>349</v>
      </c>
      <c r="C59" s="89">
        <v>76</v>
      </c>
      <c r="D59" s="89">
        <v>22</v>
      </c>
    </row>
    <row r="60" spans="1:4" x14ac:dyDescent="0.25">
      <c r="A60" s="31" t="s">
        <v>169</v>
      </c>
      <c r="B60" s="32" t="s">
        <v>350</v>
      </c>
      <c r="C60" s="89">
        <v>113</v>
      </c>
      <c r="D60" s="89">
        <v>26</v>
      </c>
    </row>
    <row r="61" spans="1:4" x14ac:dyDescent="0.25">
      <c r="A61" s="31" t="s">
        <v>176</v>
      </c>
      <c r="B61" s="32" t="s">
        <v>351</v>
      </c>
      <c r="C61" s="89">
        <v>95</v>
      </c>
      <c r="D61" s="89">
        <v>26</v>
      </c>
    </row>
    <row r="62" spans="1:4" x14ac:dyDescent="0.25">
      <c r="A62" s="31" t="s">
        <v>183</v>
      </c>
      <c r="B62" s="32" t="s">
        <v>352</v>
      </c>
      <c r="C62" s="89">
        <v>77</v>
      </c>
      <c r="D62" s="89">
        <v>30</v>
      </c>
    </row>
    <row r="63" spans="1:4" x14ac:dyDescent="0.25">
      <c r="A63" s="31" t="s">
        <v>190</v>
      </c>
      <c r="B63" s="32" t="s">
        <v>353</v>
      </c>
      <c r="C63" s="89">
        <v>114</v>
      </c>
      <c r="D63" s="89">
        <v>33</v>
      </c>
    </row>
    <row r="64" spans="1:4" x14ac:dyDescent="0.25">
      <c r="A64" s="31" t="s">
        <v>197</v>
      </c>
      <c r="B64" s="32" t="s">
        <v>354</v>
      </c>
      <c r="C64" s="89">
        <v>96</v>
      </c>
      <c r="D64" s="89">
        <v>34</v>
      </c>
    </row>
    <row r="65" spans="1:4" x14ac:dyDescent="0.25">
      <c r="A65" s="31" t="s">
        <v>204</v>
      </c>
      <c r="B65" s="32" t="s">
        <v>355</v>
      </c>
      <c r="C65" s="89">
        <v>78</v>
      </c>
      <c r="D65" s="89">
        <v>32</v>
      </c>
    </row>
    <row r="66" spans="1:4" x14ac:dyDescent="0.25">
      <c r="A66" s="31" t="s">
        <v>259</v>
      </c>
      <c r="B66" s="32" t="s">
        <v>356</v>
      </c>
      <c r="C66" s="89">
        <v>142</v>
      </c>
      <c r="D66" s="89">
        <v>31</v>
      </c>
    </row>
    <row r="67" spans="1:4" x14ac:dyDescent="0.25">
      <c r="A67" s="31" t="s">
        <v>258</v>
      </c>
      <c r="B67" s="32" t="s">
        <v>357</v>
      </c>
      <c r="C67" s="89">
        <v>160</v>
      </c>
      <c r="D67" s="89">
        <v>25</v>
      </c>
    </row>
    <row r="68" spans="1:4" x14ac:dyDescent="0.25">
      <c r="A68" s="31" t="s">
        <v>257</v>
      </c>
      <c r="B68" s="32" t="s">
        <v>358</v>
      </c>
      <c r="C68" s="89">
        <v>178</v>
      </c>
      <c r="D68" s="89">
        <v>32</v>
      </c>
    </row>
    <row r="69" spans="1:4" x14ac:dyDescent="0.25">
      <c r="A69" s="31" t="s">
        <v>256</v>
      </c>
      <c r="B69" s="32" t="s">
        <v>359</v>
      </c>
      <c r="C69" s="89">
        <v>196</v>
      </c>
      <c r="D69" s="89">
        <v>31</v>
      </c>
    </row>
    <row r="70" spans="1:4" x14ac:dyDescent="0.25">
      <c r="A70" s="31" t="s">
        <v>276</v>
      </c>
      <c r="B70" s="32" t="s">
        <v>360</v>
      </c>
      <c r="C70" s="89">
        <v>143</v>
      </c>
      <c r="D70" s="89">
        <v>31</v>
      </c>
    </row>
    <row r="71" spans="1:4" x14ac:dyDescent="0.25">
      <c r="A71" s="31" t="s">
        <v>275</v>
      </c>
      <c r="B71" s="32" t="s">
        <v>361</v>
      </c>
      <c r="C71" s="89">
        <v>161</v>
      </c>
      <c r="D71" s="89">
        <v>30</v>
      </c>
    </row>
    <row r="72" spans="1:4" x14ac:dyDescent="0.25">
      <c r="A72" s="31" t="s">
        <v>274</v>
      </c>
      <c r="B72" s="32" t="s">
        <v>362</v>
      </c>
      <c r="C72" s="89">
        <v>179</v>
      </c>
      <c r="D72" s="89">
        <v>23</v>
      </c>
    </row>
    <row r="73" spans="1:4" x14ac:dyDescent="0.25">
      <c r="A73" s="31" t="s">
        <v>273</v>
      </c>
      <c r="B73" s="32" t="s">
        <v>363</v>
      </c>
      <c r="C73" s="89">
        <v>197</v>
      </c>
      <c r="D73" s="89">
        <v>32</v>
      </c>
    </row>
    <row r="74" spans="1:4" x14ac:dyDescent="0.25">
      <c r="A74" s="31" t="s">
        <v>284</v>
      </c>
      <c r="B74" s="32" t="s">
        <v>364</v>
      </c>
      <c r="C74" s="89">
        <v>144</v>
      </c>
      <c r="D74" s="89">
        <v>32</v>
      </c>
    </row>
    <row r="75" spans="1:4" x14ac:dyDescent="0.25">
      <c r="A75" s="31" t="s">
        <v>52</v>
      </c>
      <c r="B75" s="32" t="s">
        <v>365</v>
      </c>
      <c r="C75" s="89">
        <v>162</v>
      </c>
      <c r="D75" s="89">
        <v>31</v>
      </c>
    </row>
    <row r="76" spans="1:4" x14ac:dyDescent="0.25">
      <c r="A76" s="31" t="s">
        <v>59</v>
      </c>
      <c r="B76" s="32" t="s">
        <v>366</v>
      </c>
      <c r="C76" s="89">
        <v>180</v>
      </c>
      <c r="D76" s="89">
        <v>34</v>
      </c>
    </row>
    <row r="77" spans="1:4" x14ac:dyDescent="0.25">
      <c r="A77" s="31" t="s">
        <v>66</v>
      </c>
      <c r="B77" s="32" t="s">
        <v>367</v>
      </c>
      <c r="C77" s="89">
        <v>198</v>
      </c>
      <c r="D77" s="89">
        <v>32</v>
      </c>
    </row>
    <row r="78" spans="1:4" x14ac:dyDescent="0.25">
      <c r="A78" s="31" t="s">
        <v>73</v>
      </c>
      <c r="B78" s="32" t="s">
        <v>368</v>
      </c>
      <c r="C78" s="89">
        <v>145</v>
      </c>
      <c r="D78" s="89">
        <v>32</v>
      </c>
    </row>
    <row r="79" spans="1:4" x14ac:dyDescent="0.25">
      <c r="A79" s="31" t="s">
        <v>80</v>
      </c>
      <c r="B79" s="32" t="s">
        <v>369</v>
      </c>
      <c r="C79" s="89">
        <v>163</v>
      </c>
      <c r="D79" s="89">
        <v>35</v>
      </c>
    </row>
    <row r="80" spans="1:4" x14ac:dyDescent="0.25">
      <c r="A80" s="31" t="s">
        <v>87</v>
      </c>
      <c r="B80" s="32" t="s">
        <v>370</v>
      </c>
      <c r="C80" s="89">
        <v>181</v>
      </c>
      <c r="D80" s="89">
        <v>23</v>
      </c>
    </row>
    <row r="81" spans="1:4" x14ac:dyDescent="0.25">
      <c r="A81" s="31" t="s">
        <v>94</v>
      </c>
      <c r="B81" s="32" t="s">
        <v>371</v>
      </c>
      <c r="C81" s="89">
        <v>146</v>
      </c>
      <c r="D81" s="89">
        <v>23</v>
      </c>
    </row>
    <row r="82" spans="1:4" x14ac:dyDescent="0.25">
      <c r="A82" s="31" t="s">
        <v>101</v>
      </c>
      <c r="B82" s="32" t="s">
        <v>372</v>
      </c>
      <c r="C82" s="89">
        <v>164</v>
      </c>
      <c r="D82" s="89">
        <v>26</v>
      </c>
    </row>
    <row r="83" spans="1:4" x14ac:dyDescent="0.25">
      <c r="A83" s="31" t="s">
        <v>108</v>
      </c>
      <c r="B83" s="32" t="s">
        <v>373</v>
      </c>
      <c r="C83" s="89">
        <v>182</v>
      </c>
      <c r="D83" s="89">
        <v>20</v>
      </c>
    </row>
    <row r="84" spans="1:4" x14ac:dyDescent="0.25">
      <c r="A84" s="31" t="s">
        <v>115</v>
      </c>
      <c r="B84" s="32" t="s">
        <v>374</v>
      </c>
      <c r="C84" s="89">
        <v>147</v>
      </c>
      <c r="D84" s="89">
        <v>27</v>
      </c>
    </row>
    <row r="85" spans="1:4" x14ac:dyDescent="0.25">
      <c r="A85" s="31" t="s">
        <v>122</v>
      </c>
      <c r="B85" s="32" t="s">
        <v>375</v>
      </c>
      <c r="C85" s="89">
        <v>165</v>
      </c>
      <c r="D85" s="89">
        <v>24</v>
      </c>
    </row>
    <row r="86" spans="1:4" x14ac:dyDescent="0.25">
      <c r="A86" s="31" t="s">
        <v>129</v>
      </c>
      <c r="B86" s="32" t="s">
        <v>376</v>
      </c>
      <c r="C86" s="89">
        <v>183</v>
      </c>
      <c r="D86" s="89">
        <v>32</v>
      </c>
    </row>
    <row r="87" spans="1:4" x14ac:dyDescent="0.25">
      <c r="A87" s="31" t="s">
        <v>136</v>
      </c>
      <c r="B87" s="32" t="s">
        <v>377</v>
      </c>
      <c r="C87" s="89">
        <v>148</v>
      </c>
      <c r="D87" s="89">
        <v>30</v>
      </c>
    </row>
    <row r="88" spans="1:4" x14ac:dyDescent="0.25">
      <c r="A88" s="31" t="s">
        <v>143</v>
      </c>
      <c r="B88" s="32" t="s">
        <v>378</v>
      </c>
      <c r="C88" s="89">
        <v>166</v>
      </c>
      <c r="D88" s="89">
        <v>28</v>
      </c>
    </row>
    <row r="89" spans="1:4" x14ac:dyDescent="0.25">
      <c r="A89" s="31" t="s">
        <v>149</v>
      </c>
      <c r="B89" s="32" t="s">
        <v>379</v>
      </c>
      <c r="C89" s="89">
        <v>184</v>
      </c>
      <c r="D89" s="89">
        <v>25</v>
      </c>
    </row>
    <row r="90" spans="1:4" x14ac:dyDescent="0.25">
      <c r="A90" s="31" t="s">
        <v>156</v>
      </c>
      <c r="B90" s="32" t="s">
        <v>380</v>
      </c>
      <c r="C90" s="89">
        <v>131</v>
      </c>
      <c r="D90" s="89">
        <v>26</v>
      </c>
    </row>
    <row r="91" spans="1:4" x14ac:dyDescent="0.25">
      <c r="A91" s="31" t="s">
        <v>163</v>
      </c>
      <c r="B91" s="32" t="s">
        <v>381</v>
      </c>
      <c r="C91" s="89">
        <v>149</v>
      </c>
      <c r="D91" s="89">
        <v>23</v>
      </c>
    </row>
    <row r="92" spans="1:4" x14ac:dyDescent="0.25">
      <c r="A92" s="31" t="s">
        <v>170</v>
      </c>
      <c r="B92" s="32" t="s">
        <v>382</v>
      </c>
      <c r="C92" s="89">
        <v>167</v>
      </c>
      <c r="D92" s="89">
        <v>23</v>
      </c>
    </row>
    <row r="93" spans="1:4" x14ac:dyDescent="0.25">
      <c r="A93" s="31" t="s">
        <v>177</v>
      </c>
      <c r="B93" s="32" t="s">
        <v>383</v>
      </c>
      <c r="C93" s="89">
        <v>185</v>
      </c>
      <c r="D93" s="89">
        <v>34</v>
      </c>
    </row>
    <row r="94" spans="1:4" x14ac:dyDescent="0.25">
      <c r="A94" s="31" t="s">
        <v>184</v>
      </c>
      <c r="B94" s="32" t="s">
        <v>384</v>
      </c>
      <c r="C94" s="89">
        <v>132</v>
      </c>
      <c r="D94" s="89">
        <v>23</v>
      </c>
    </row>
    <row r="95" spans="1:4" x14ac:dyDescent="0.25">
      <c r="A95" s="31" t="s">
        <v>191</v>
      </c>
      <c r="B95" s="32" t="s">
        <v>385</v>
      </c>
      <c r="C95" s="89">
        <v>150</v>
      </c>
      <c r="D95" s="89">
        <v>32</v>
      </c>
    </row>
    <row r="96" spans="1:4" x14ac:dyDescent="0.25">
      <c r="A96" s="31" t="s">
        <v>198</v>
      </c>
      <c r="B96" s="32" t="s">
        <v>386</v>
      </c>
      <c r="C96" s="89">
        <v>168</v>
      </c>
      <c r="D96" s="89">
        <v>22</v>
      </c>
    </row>
    <row r="97" spans="1:4" x14ac:dyDescent="0.25">
      <c r="A97" s="31" t="s">
        <v>205</v>
      </c>
      <c r="B97" s="32" t="s">
        <v>387</v>
      </c>
      <c r="C97" s="89">
        <v>186</v>
      </c>
      <c r="D97" s="89">
        <v>32</v>
      </c>
    </row>
    <row r="98" spans="1:4" x14ac:dyDescent="0.25">
      <c r="A98" s="31" t="s">
        <v>255</v>
      </c>
      <c r="B98" s="32" t="s">
        <v>388</v>
      </c>
      <c r="C98" s="89">
        <v>213</v>
      </c>
      <c r="D98" s="89">
        <v>27</v>
      </c>
    </row>
    <row r="99" spans="1:4" x14ac:dyDescent="0.25">
      <c r="A99" s="31" t="s">
        <v>254</v>
      </c>
      <c r="B99" s="32" t="s">
        <v>389</v>
      </c>
      <c r="C99" s="89">
        <v>228</v>
      </c>
      <c r="D99" s="89">
        <v>30</v>
      </c>
    </row>
    <row r="100" spans="1:4" x14ac:dyDescent="0.25">
      <c r="A100" s="31" t="s">
        <v>253</v>
      </c>
      <c r="B100" s="32" t="s">
        <v>390</v>
      </c>
      <c r="C100" s="89">
        <v>241</v>
      </c>
      <c r="D100" s="89">
        <v>22</v>
      </c>
    </row>
    <row r="101" spans="1:4" x14ac:dyDescent="0.25">
      <c r="A101" s="31" t="s">
        <v>252</v>
      </c>
      <c r="B101" s="32" t="s">
        <v>391</v>
      </c>
      <c r="C101" s="89">
        <v>252</v>
      </c>
      <c r="D101" s="89">
        <v>24</v>
      </c>
    </row>
    <row r="102" spans="1:4" x14ac:dyDescent="0.25">
      <c r="A102" s="31" t="s">
        <v>272</v>
      </c>
      <c r="B102" s="32" t="s">
        <v>392</v>
      </c>
      <c r="C102" s="89">
        <v>214</v>
      </c>
      <c r="D102" s="89">
        <v>22</v>
      </c>
    </row>
    <row r="103" spans="1:4" x14ac:dyDescent="0.25">
      <c r="A103" s="31" t="s">
        <v>271</v>
      </c>
      <c r="B103" s="32" t="s">
        <v>393</v>
      </c>
      <c r="C103" s="89">
        <v>229</v>
      </c>
      <c r="D103" s="89">
        <v>26</v>
      </c>
    </row>
    <row r="104" spans="1:4" x14ac:dyDescent="0.25">
      <c r="A104" s="31" t="s">
        <v>270</v>
      </c>
      <c r="B104" s="32" t="s">
        <v>394</v>
      </c>
      <c r="C104" s="89">
        <v>242</v>
      </c>
      <c r="D104" s="89">
        <v>31</v>
      </c>
    </row>
    <row r="105" spans="1:4" x14ac:dyDescent="0.25">
      <c r="A105" s="31" t="s">
        <v>269</v>
      </c>
      <c r="B105" s="32" t="s">
        <v>395</v>
      </c>
      <c r="C105" s="89">
        <v>253</v>
      </c>
      <c r="D105" s="89">
        <v>30</v>
      </c>
    </row>
    <row r="106" spans="1:4" x14ac:dyDescent="0.25">
      <c r="A106" s="31" t="s">
        <v>283</v>
      </c>
      <c r="B106" s="32" t="s">
        <v>396</v>
      </c>
      <c r="C106" s="89">
        <v>215</v>
      </c>
      <c r="D106" s="89">
        <v>22</v>
      </c>
    </row>
    <row r="107" spans="1:4" x14ac:dyDescent="0.25">
      <c r="A107" s="31" t="s">
        <v>53</v>
      </c>
      <c r="B107" s="32" t="s">
        <v>397</v>
      </c>
      <c r="C107" s="89">
        <v>230</v>
      </c>
      <c r="D107" s="89">
        <v>34</v>
      </c>
    </row>
    <row r="108" spans="1:4" x14ac:dyDescent="0.25">
      <c r="A108" s="31" t="s">
        <v>60</v>
      </c>
      <c r="B108" s="32" t="s">
        <v>398</v>
      </c>
      <c r="C108" s="89">
        <v>243</v>
      </c>
      <c r="D108" s="89">
        <v>30</v>
      </c>
    </row>
    <row r="109" spans="1:4" x14ac:dyDescent="0.25">
      <c r="A109" s="31" t="s">
        <v>67</v>
      </c>
      <c r="B109" s="32" t="s">
        <v>399</v>
      </c>
      <c r="C109" s="89">
        <v>254</v>
      </c>
      <c r="D109" s="89">
        <v>22</v>
      </c>
    </row>
    <row r="110" spans="1:4" x14ac:dyDescent="0.25">
      <c r="A110" s="31" t="s">
        <v>74</v>
      </c>
      <c r="B110" s="32" t="s">
        <v>400</v>
      </c>
      <c r="C110" s="89">
        <v>199</v>
      </c>
      <c r="D110" s="89">
        <v>33</v>
      </c>
    </row>
    <row r="111" spans="1:4" x14ac:dyDescent="0.25">
      <c r="A111" s="31" t="s">
        <v>81</v>
      </c>
      <c r="B111" s="32" t="s">
        <v>401</v>
      </c>
      <c r="C111" s="89">
        <v>216</v>
      </c>
      <c r="D111" s="89">
        <v>33</v>
      </c>
    </row>
    <row r="112" spans="1:4" x14ac:dyDescent="0.25">
      <c r="A112" s="31" t="s">
        <v>88</v>
      </c>
      <c r="B112" s="32" t="s">
        <v>402</v>
      </c>
      <c r="C112" s="89">
        <v>231</v>
      </c>
      <c r="D112" s="89">
        <v>33</v>
      </c>
    </row>
    <row r="113" spans="1:4" x14ac:dyDescent="0.25">
      <c r="A113" s="31" t="s">
        <v>95</v>
      </c>
      <c r="B113" s="32" t="s">
        <v>403</v>
      </c>
      <c r="C113" s="89">
        <v>244</v>
      </c>
      <c r="D113" s="89">
        <v>23</v>
      </c>
    </row>
    <row r="114" spans="1:4" x14ac:dyDescent="0.25">
      <c r="A114" s="31" t="s">
        <v>102</v>
      </c>
      <c r="B114" s="32" t="s">
        <v>404</v>
      </c>
      <c r="C114" s="89">
        <v>255</v>
      </c>
      <c r="D114" s="89">
        <v>29</v>
      </c>
    </row>
    <row r="115" spans="1:4" x14ac:dyDescent="0.25">
      <c r="A115" s="31" t="s">
        <v>109</v>
      </c>
      <c r="B115" s="32" t="s">
        <v>405</v>
      </c>
      <c r="C115" s="89">
        <v>200</v>
      </c>
      <c r="D115" s="89">
        <v>28</v>
      </c>
    </row>
    <row r="116" spans="1:4" x14ac:dyDescent="0.25">
      <c r="A116" s="31" t="s">
        <v>116</v>
      </c>
      <c r="B116" s="32" t="s">
        <v>406</v>
      </c>
      <c r="C116" s="89">
        <v>217</v>
      </c>
      <c r="D116" s="89">
        <v>24</v>
      </c>
    </row>
    <row r="117" spans="1:4" x14ac:dyDescent="0.25">
      <c r="A117" s="31" t="s">
        <v>123</v>
      </c>
      <c r="B117" s="32" t="s">
        <v>407</v>
      </c>
      <c r="C117" s="89">
        <v>232</v>
      </c>
      <c r="D117" s="89">
        <v>22</v>
      </c>
    </row>
    <row r="118" spans="1:4" x14ac:dyDescent="0.25">
      <c r="A118" s="31" t="s">
        <v>130</v>
      </c>
      <c r="B118" s="32" t="s">
        <v>408</v>
      </c>
      <c r="C118" s="89">
        <v>245</v>
      </c>
      <c r="D118" s="89">
        <v>23</v>
      </c>
    </row>
    <row r="119" spans="1:4" x14ac:dyDescent="0.25">
      <c r="A119" s="31" t="s">
        <v>137</v>
      </c>
      <c r="B119" s="32" t="s">
        <v>409</v>
      </c>
      <c r="C119" s="89">
        <v>256</v>
      </c>
      <c r="D119" s="89">
        <v>34</v>
      </c>
    </row>
    <row r="120" spans="1:4" x14ac:dyDescent="0.25">
      <c r="A120" s="31" t="s">
        <v>144</v>
      </c>
      <c r="B120" s="32" t="s">
        <v>410</v>
      </c>
      <c r="C120" s="89">
        <v>201</v>
      </c>
      <c r="D120" s="89">
        <v>23</v>
      </c>
    </row>
    <row r="121" spans="1:4" x14ac:dyDescent="0.25">
      <c r="A121" s="31" t="s">
        <v>150</v>
      </c>
      <c r="B121" s="32" t="s">
        <v>411</v>
      </c>
      <c r="C121" s="89">
        <v>218</v>
      </c>
      <c r="D121" s="89">
        <v>23</v>
      </c>
    </row>
    <row r="122" spans="1:4" x14ac:dyDescent="0.25">
      <c r="A122" s="31" t="s">
        <v>157</v>
      </c>
      <c r="B122" s="32" t="s">
        <v>412</v>
      </c>
      <c r="C122" s="89">
        <v>233</v>
      </c>
      <c r="D122" s="89">
        <v>28</v>
      </c>
    </row>
    <row r="123" spans="1:4" x14ac:dyDescent="0.25">
      <c r="A123" s="31" t="s">
        <v>164</v>
      </c>
      <c r="B123" s="32" t="s">
        <v>413</v>
      </c>
      <c r="C123" s="89">
        <v>246</v>
      </c>
      <c r="D123" s="89">
        <v>30</v>
      </c>
    </row>
    <row r="124" spans="1:4" x14ac:dyDescent="0.25">
      <c r="A124" s="31" t="s">
        <v>171</v>
      </c>
      <c r="B124" s="32" t="s">
        <v>414</v>
      </c>
      <c r="C124" s="89">
        <v>202</v>
      </c>
      <c r="D124" s="89">
        <v>31</v>
      </c>
    </row>
    <row r="125" spans="1:4" x14ac:dyDescent="0.25">
      <c r="A125" s="31" t="s">
        <v>178</v>
      </c>
      <c r="B125" s="32" t="s">
        <v>415</v>
      </c>
      <c r="C125" s="89">
        <v>219</v>
      </c>
      <c r="D125" s="89">
        <v>30</v>
      </c>
    </row>
    <row r="126" spans="1:4" x14ac:dyDescent="0.25">
      <c r="A126" s="31" t="s">
        <v>185</v>
      </c>
      <c r="B126" s="32" t="s">
        <v>416</v>
      </c>
      <c r="C126" s="89">
        <v>234</v>
      </c>
      <c r="D126" s="89">
        <v>27</v>
      </c>
    </row>
    <row r="127" spans="1:4" x14ac:dyDescent="0.25">
      <c r="A127" s="31" t="s">
        <v>192</v>
      </c>
      <c r="B127" s="32" t="s">
        <v>417</v>
      </c>
      <c r="C127" s="89">
        <v>203</v>
      </c>
      <c r="D127" s="89">
        <v>22</v>
      </c>
    </row>
    <row r="128" spans="1:4" x14ac:dyDescent="0.25">
      <c r="A128" s="31" t="s">
        <v>199</v>
      </c>
      <c r="B128" s="32" t="s">
        <v>418</v>
      </c>
      <c r="C128" s="89">
        <v>220</v>
      </c>
      <c r="D128" s="89">
        <v>32</v>
      </c>
    </row>
    <row r="129" spans="1:4" x14ac:dyDescent="0.25">
      <c r="A129" s="31" t="s">
        <v>206</v>
      </c>
      <c r="B129" s="32" t="s">
        <v>419</v>
      </c>
      <c r="C129" s="89">
        <v>204</v>
      </c>
      <c r="D129" s="89">
        <v>32</v>
      </c>
    </row>
    <row r="130" spans="1:4" x14ac:dyDescent="0.25">
      <c r="A130" s="31" t="s">
        <v>251</v>
      </c>
      <c r="B130" s="32" t="s">
        <v>420</v>
      </c>
      <c r="C130" s="89">
        <v>4</v>
      </c>
      <c r="D130" s="89">
        <v>36</v>
      </c>
    </row>
    <row r="131" spans="1:4" x14ac:dyDescent="0.25">
      <c r="A131" s="31" t="s">
        <v>250</v>
      </c>
      <c r="B131" s="32" t="s">
        <v>421</v>
      </c>
      <c r="C131" s="89">
        <v>13</v>
      </c>
      <c r="D131" s="89">
        <v>36</v>
      </c>
    </row>
    <row r="132" spans="1:4" x14ac:dyDescent="0.25">
      <c r="A132" s="31" t="s">
        <v>249</v>
      </c>
      <c r="B132" s="32" t="s">
        <v>422</v>
      </c>
      <c r="C132" s="89">
        <v>24</v>
      </c>
      <c r="D132" s="89">
        <v>26</v>
      </c>
    </row>
    <row r="133" spans="1:4" x14ac:dyDescent="0.25">
      <c r="A133" s="31" t="s">
        <v>248</v>
      </c>
      <c r="B133" s="32" t="s">
        <v>423</v>
      </c>
      <c r="C133" s="89">
        <v>37</v>
      </c>
      <c r="D133" s="89">
        <v>33</v>
      </c>
    </row>
    <row r="134" spans="1:4" x14ac:dyDescent="0.25">
      <c r="A134" s="31" t="s">
        <v>247</v>
      </c>
      <c r="B134" s="32" t="s">
        <v>424</v>
      </c>
      <c r="C134" s="89">
        <v>52</v>
      </c>
      <c r="D134" s="89">
        <v>27</v>
      </c>
    </row>
    <row r="135" spans="1:4" x14ac:dyDescent="0.25">
      <c r="A135" s="31" t="s">
        <v>246</v>
      </c>
      <c r="B135" s="32" t="s">
        <v>425</v>
      </c>
      <c r="C135" s="89">
        <v>69</v>
      </c>
      <c r="D135" s="89">
        <v>36</v>
      </c>
    </row>
    <row r="136" spans="1:4" x14ac:dyDescent="0.25">
      <c r="A136" s="31" t="s">
        <v>234</v>
      </c>
      <c r="B136" s="32" t="s">
        <v>426</v>
      </c>
      <c r="C136" s="89">
        <v>3</v>
      </c>
      <c r="D136" s="89">
        <v>26</v>
      </c>
    </row>
    <row r="137" spans="1:4" x14ac:dyDescent="0.25">
      <c r="A137" s="31" t="s">
        <v>233</v>
      </c>
      <c r="B137" s="32" t="s">
        <v>427</v>
      </c>
      <c r="C137" s="89">
        <v>12</v>
      </c>
      <c r="D137" s="89">
        <v>36</v>
      </c>
    </row>
    <row r="138" spans="1:4" x14ac:dyDescent="0.25">
      <c r="A138" s="31" t="s">
        <v>232</v>
      </c>
      <c r="B138" s="32" t="s">
        <v>428</v>
      </c>
      <c r="C138" s="89">
        <v>23</v>
      </c>
      <c r="D138" s="89">
        <v>35</v>
      </c>
    </row>
    <row r="139" spans="1:4" x14ac:dyDescent="0.25">
      <c r="A139" s="31" t="s">
        <v>54</v>
      </c>
      <c r="B139" s="32" t="s">
        <v>429</v>
      </c>
      <c r="C139" s="89">
        <v>36</v>
      </c>
      <c r="D139" s="89">
        <v>28</v>
      </c>
    </row>
    <row r="140" spans="1:4" x14ac:dyDescent="0.25">
      <c r="A140" s="31" t="s">
        <v>61</v>
      </c>
      <c r="B140" s="32" t="s">
        <v>430</v>
      </c>
      <c r="C140" s="89">
        <v>51</v>
      </c>
      <c r="D140" s="89">
        <v>25</v>
      </c>
    </row>
    <row r="141" spans="1:4" x14ac:dyDescent="0.25">
      <c r="A141" s="31" t="s">
        <v>68</v>
      </c>
      <c r="B141" s="32" t="s">
        <v>431</v>
      </c>
      <c r="C141" s="89">
        <v>68</v>
      </c>
      <c r="D141" s="89">
        <v>34</v>
      </c>
    </row>
    <row r="142" spans="1:4" x14ac:dyDescent="0.25">
      <c r="A142" s="31" t="s">
        <v>75</v>
      </c>
      <c r="B142" s="32" t="s">
        <v>432</v>
      </c>
      <c r="C142" s="89">
        <v>2</v>
      </c>
      <c r="D142" s="89">
        <v>26</v>
      </c>
    </row>
    <row r="143" spans="1:4" x14ac:dyDescent="0.25">
      <c r="A143" s="31" t="s">
        <v>82</v>
      </c>
      <c r="B143" s="32" t="s">
        <v>433</v>
      </c>
      <c r="C143" s="89">
        <v>11</v>
      </c>
      <c r="D143" s="89">
        <v>36</v>
      </c>
    </row>
    <row r="144" spans="1:4" x14ac:dyDescent="0.25">
      <c r="A144" s="31" t="s">
        <v>89</v>
      </c>
      <c r="B144" s="32" t="s">
        <v>434</v>
      </c>
      <c r="C144" s="89">
        <v>22</v>
      </c>
      <c r="D144" s="89">
        <v>26</v>
      </c>
    </row>
    <row r="145" spans="1:4" x14ac:dyDescent="0.25">
      <c r="A145" s="31" t="s">
        <v>96</v>
      </c>
      <c r="B145" s="32" t="s">
        <v>435</v>
      </c>
      <c r="C145" s="89">
        <v>35</v>
      </c>
      <c r="D145" s="89">
        <v>34</v>
      </c>
    </row>
    <row r="146" spans="1:4" x14ac:dyDescent="0.25">
      <c r="A146" s="31" t="s">
        <v>103</v>
      </c>
      <c r="B146" s="32" t="s">
        <v>436</v>
      </c>
      <c r="C146" s="89">
        <v>50</v>
      </c>
      <c r="D146" s="89">
        <v>29</v>
      </c>
    </row>
    <row r="147" spans="1:4" x14ac:dyDescent="0.25">
      <c r="A147" s="31" t="s">
        <v>110</v>
      </c>
      <c r="B147" s="32" t="s">
        <v>437</v>
      </c>
      <c r="C147" s="89">
        <v>1</v>
      </c>
      <c r="D147" s="89">
        <v>26</v>
      </c>
    </row>
    <row r="148" spans="1:4" x14ac:dyDescent="0.25">
      <c r="A148" s="31" t="s">
        <v>117</v>
      </c>
      <c r="B148" s="32" t="s">
        <v>438</v>
      </c>
      <c r="C148" s="89">
        <v>10</v>
      </c>
      <c r="D148" s="89">
        <v>39</v>
      </c>
    </row>
    <row r="149" spans="1:4" x14ac:dyDescent="0.25">
      <c r="A149" s="31" t="s">
        <v>124</v>
      </c>
      <c r="B149" s="32" t="s">
        <v>439</v>
      </c>
      <c r="C149" s="89">
        <v>21</v>
      </c>
      <c r="D149" s="89">
        <v>25</v>
      </c>
    </row>
    <row r="150" spans="1:4" x14ac:dyDescent="0.25">
      <c r="A150" s="31" t="s">
        <v>131</v>
      </c>
      <c r="B150" s="32" t="s">
        <v>440</v>
      </c>
      <c r="C150" s="89">
        <v>34</v>
      </c>
      <c r="D150" s="89">
        <v>37</v>
      </c>
    </row>
    <row r="151" spans="1:4" x14ac:dyDescent="0.25">
      <c r="A151" s="31" t="s">
        <v>138</v>
      </c>
      <c r="B151" s="32" t="s">
        <v>441</v>
      </c>
      <c r="C151" s="89">
        <v>49</v>
      </c>
      <c r="D151" s="89">
        <v>33</v>
      </c>
    </row>
    <row r="152" spans="1:4" x14ac:dyDescent="0.25">
      <c r="A152" s="31" t="s">
        <v>145</v>
      </c>
      <c r="B152" s="32" t="s">
        <v>442</v>
      </c>
      <c r="C152" s="89">
        <v>9</v>
      </c>
      <c r="D152" s="89">
        <v>36</v>
      </c>
    </row>
    <row r="153" spans="1:4" x14ac:dyDescent="0.25">
      <c r="A153" s="31" t="s">
        <v>151</v>
      </c>
      <c r="B153" s="32" t="s">
        <v>443</v>
      </c>
      <c r="C153" s="89">
        <v>20</v>
      </c>
      <c r="D153" s="89">
        <v>29</v>
      </c>
    </row>
    <row r="154" spans="1:4" x14ac:dyDescent="0.25">
      <c r="A154" s="31" t="s">
        <v>158</v>
      </c>
      <c r="B154" s="32" t="s">
        <v>444</v>
      </c>
      <c r="C154" s="89">
        <v>33</v>
      </c>
      <c r="D154" s="89">
        <v>36</v>
      </c>
    </row>
    <row r="155" spans="1:4" x14ac:dyDescent="0.25">
      <c r="A155" s="31" t="s">
        <v>165</v>
      </c>
      <c r="B155" s="32" t="s">
        <v>445</v>
      </c>
      <c r="C155" s="89">
        <v>48</v>
      </c>
      <c r="D155" s="89">
        <v>30</v>
      </c>
    </row>
    <row r="156" spans="1:4" x14ac:dyDescent="0.25">
      <c r="A156" s="31" t="s">
        <v>172</v>
      </c>
      <c r="B156" s="32" t="s">
        <v>446</v>
      </c>
      <c r="C156" s="89">
        <v>19</v>
      </c>
      <c r="D156" s="89">
        <v>29</v>
      </c>
    </row>
    <row r="157" spans="1:4" x14ac:dyDescent="0.25">
      <c r="A157" s="31" t="s">
        <v>179</v>
      </c>
      <c r="B157" s="32" t="s">
        <v>447</v>
      </c>
      <c r="C157" s="89">
        <v>32</v>
      </c>
      <c r="D157" s="89">
        <v>32</v>
      </c>
    </row>
    <row r="158" spans="1:4" x14ac:dyDescent="0.25">
      <c r="A158" s="31" t="s">
        <v>186</v>
      </c>
      <c r="B158" s="32" t="s">
        <v>448</v>
      </c>
      <c r="C158" s="89">
        <v>47</v>
      </c>
      <c r="D158" s="89">
        <v>29</v>
      </c>
    </row>
    <row r="159" spans="1:4" x14ac:dyDescent="0.25">
      <c r="A159" s="31" t="s">
        <v>193</v>
      </c>
      <c r="B159" s="32" t="s">
        <v>449</v>
      </c>
      <c r="C159" s="89">
        <v>31</v>
      </c>
      <c r="D159" s="89">
        <v>36</v>
      </c>
    </row>
    <row r="160" spans="1:4" x14ac:dyDescent="0.25">
      <c r="A160" s="31" t="s">
        <v>200</v>
      </c>
      <c r="B160" s="32" t="s">
        <v>450</v>
      </c>
      <c r="C160" s="89">
        <v>46</v>
      </c>
      <c r="D160" s="89">
        <v>34</v>
      </c>
    </row>
    <row r="161" spans="1:4" x14ac:dyDescent="0.25">
      <c r="A161" s="31" t="s">
        <v>207</v>
      </c>
      <c r="B161" s="32" t="s">
        <v>451</v>
      </c>
      <c r="C161" s="89">
        <v>45</v>
      </c>
      <c r="D161" s="89">
        <v>33</v>
      </c>
    </row>
    <row r="162" spans="1:4" x14ac:dyDescent="0.25">
      <c r="A162" s="31" t="s">
        <v>243</v>
      </c>
      <c r="B162" s="32" t="s">
        <v>452</v>
      </c>
      <c r="C162" s="89">
        <v>123</v>
      </c>
      <c r="D162" s="89">
        <v>28</v>
      </c>
    </row>
    <row r="163" spans="1:4" x14ac:dyDescent="0.25">
      <c r="A163" s="31" t="s">
        <v>244</v>
      </c>
      <c r="B163" s="32" t="s">
        <v>453</v>
      </c>
      <c r="C163" s="89">
        <v>105</v>
      </c>
      <c r="D163" s="89">
        <v>24</v>
      </c>
    </row>
    <row r="164" spans="1:4" x14ac:dyDescent="0.25">
      <c r="A164" s="31" t="s">
        <v>245</v>
      </c>
      <c r="B164" s="32" t="s">
        <v>454</v>
      </c>
      <c r="C164" s="89">
        <v>87</v>
      </c>
      <c r="D164" s="89">
        <v>30</v>
      </c>
    </row>
    <row r="165" spans="1:4" x14ac:dyDescent="0.25">
      <c r="A165" s="31" t="s">
        <v>229</v>
      </c>
      <c r="B165" s="32" t="s">
        <v>455</v>
      </c>
      <c r="C165" s="89">
        <v>122</v>
      </c>
      <c r="D165" s="89">
        <v>32</v>
      </c>
    </row>
    <row r="166" spans="1:4" x14ac:dyDescent="0.25">
      <c r="A166" s="31" t="s">
        <v>230</v>
      </c>
      <c r="B166" s="32" t="s">
        <v>456</v>
      </c>
      <c r="C166" s="89">
        <v>104</v>
      </c>
      <c r="D166" s="89">
        <v>29</v>
      </c>
    </row>
    <row r="167" spans="1:4" x14ac:dyDescent="0.25">
      <c r="A167" s="31" t="s">
        <v>231</v>
      </c>
      <c r="B167" s="32" t="s">
        <v>457</v>
      </c>
      <c r="C167" s="89">
        <v>86</v>
      </c>
      <c r="D167" s="89">
        <v>25</v>
      </c>
    </row>
    <row r="168" spans="1:4" x14ac:dyDescent="0.25">
      <c r="A168" s="31" t="s">
        <v>218</v>
      </c>
      <c r="B168" s="32" t="s">
        <v>458</v>
      </c>
      <c r="C168" s="89">
        <v>121</v>
      </c>
      <c r="D168" s="89">
        <v>31</v>
      </c>
    </row>
    <row r="169" spans="1:4" x14ac:dyDescent="0.25">
      <c r="A169" s="31" t="s">
        <v>219</v>
      </c>
      <c r="B169" s="32" t="s">
        <v>459</v>
      </c>
      <c r="C169" s="89">
        <v>103</v>
      </c>
      <c r="D169" s="89">
        <v>29</v>
      </c>
    </row>
    <row r="170" spans="1:4" x14ac:dyDescent="0.25">
      <c r="A170" s="31" t="s">
        <v>220</v>
      </c>
      <c r="B170" s="32" t="s">
        <v>460</v>
      </c>
      <c r="C170" s="89">
        <v>85</v>
      </c>
      <c r="D170" s="89">
        <v>28</v>
      </c>
    </row>
    <row r="171" spans="1:4" x14ac:dyDescent="0.25">
      <c r="A171" s="31" t="s">
        <v>55</v>
      </c>
      <c r="B171" s="32" t="s">
        <v>461</v>
      </c>
      <c r="C171" s="89">
        <v>67</v>
      </c>
      <c r="D171" s="89">
        <v>32</v>
      </c>
    </row>
    <row r="172" spans="1:4" x14ac:dyDescent="0.25">
      <c r="A172" s="31" t="s">
        <v>62</v>
      </c>
      <c r="B172" s="32" t="s">
        <v>462</v>
      </c>
      <c r="C172" s="89">
        <v>120</v>
      </c>
      <c r="D172" s="89">
        <v>32</v>
      </c>
    </row>
    <row r="173" spans="1:4" x14ac:dyDescent="0.25">
      <c r="A173" s="31" t="s">
        <v>69</v>
      </c>
      <c r="B173" s="32" t="s">
        <v>463</v>
      </c>
      <c r="C173" s="89">
        <v>102</v>
      </c>
      <c r="D173" s="89">
        <v>25</v>
      </c>
    </row>
    <row r="174" spans="1:4" x14ac:dyDescent="0.25">
      <c r="A174" s="31" t="s">
        <v>76</v>
      </c>
      <c r="B174" s="32" t="s">
        <v>464</v>
      </c>
      <c r="C174" s="89">
        <v>84</v>
      </c>
      <c r="D174" s="89">
        <v>29</v>
      </c>
    </row>
    <row r="175" spans="1:4" x14ac:dyDescent="0.25">
      <c r="A175" s="31" t="s">
        <v>83</v>
      </c>
      <c r="B175" s="32" t="s">
        <v>465</v>
      </c>
      <c r="C175" s="89">
        <v>66</v>
      </c>
      <c r="D175" s="89">
        <v>29</v>
      </c>
    </row>
    <row r="176" spans="1:4" x14ac:dyDescent="0.25">
      <c r="A176" s="31" t="s">
        <v>90</v>
      </c>
      <c r="B176" s="32" t="s">
        <v>466</v>
      </c>
      <c r="C176" s="89">
        <v>119</v>
      </c>
      <c r="D176" s="89">
        <v>30</v>
      </c>
    </row>
    <row r="177" spans="1:4" x14ac:dyDescent="0.25">
      <c r="A177" s="31" t="s">
        <v>97</v>
      </c>
      <c r="B177" s="32" t="s">
        <v>467</v>
      </c>
      <c r="C177" s="89">
        <v>101</v>
      </c>
      <c r="D177" s="89">
        <v>21</v>
      </c>
    </row>
    <row r="178" spans="1:4" x14ac:dyDescent="0.25">
      <c r="A178" s="31" t="s">
        <v>104</v>
      </c>
      <c r="B178" s="32" t="s">
        <v>468</v>
      </c>
      <c r="C178" s="89">
        <v>83</v>
      </c>
      <c r="D178" s="89">
        <v>21</v>
      </c>
    </row>
    <row r="179" spans="1:4" x14ac:dyDescent="0.25">
      <c r="A179" s="31" t="s">
        <v>111</v>
      </c>
      <c r="B179" s="32" t="s">
        <v>469</v>
      </c>
      <c r="C179" s="89">
        <v>65</v>
      </c>
      <c r="D179" s="89">
        <v>34</v>
      </c>
    </row>
    <row r="180" spans="1:4" x14ac:dyDescent="0.25">
      <c r="A180" s="31" t="s">
        <v>118</v>
      </c>
      <c r="B180" s="32" t="s">
        <v>470</v>
      </c>
      <c r="C180" s="89">
        <v>118</v>
      </c>
      <c r="D180" s="89">
        <v>21</v>
      </c>
    </row>
    <row r="181" spans="1:4" x14ac:dyDescent="0.25">
      <c r="A181" s="31" t="s">
        <v>125</v>
      </c>
      <c r="B181" s="32" t="s">
        <v>471</v>
      </c>
      <c r="C181" s="89">
        <v>100</v>
      </c>
      <c r="D181" s="89">
        <v>20</v>
      </c>
    </row>
    <row r="182" spans="1:4" x14ac:dyDescent="0.25">
      <c r="A182" s="31" t="s">
        <v>132</v>
      </c>
      <c r="B182" s="32" t="s">
        <v>472</v>
      </c>
      <c r="C182" s="89">
        <v>82</v>
      </c>
      <c r="D182" s="89">
        <v>29</v>
      </c>
    </row>
    <row r="183" spans="1:4" x14ac:dyDescent="0.25">
      <c r="A183" s="31" t="s">
        <v>139</v>
      </c>
      <c r="B183" s="32" t="s">
        <v>473</v>
      </c>
      <c r="C183" s="89">
        <v>64</v>
      </c>
      <c r="D183" s="89">
        <v>19</v>
      </c>
    </row>
    <row r="184" spans="1:4" x14ac:dyDescent="0.25">
      <c r="A184" s="31" t="s">
        <v>146</v>
      </c>
      <c r="B184" s="32" t="s">
        <v>474</v>
      </c>
      <c r="C184" s="89">
        <v>117</v>
      </c>
      <c r="D184" s="89">
        <v>32</v>
      </c>
    </row>
    <row r="185" spans="1:4" x14ac:dyDescent="0.25">
      <c r="A185" s="31" t="s">
        <v>152</v>
      </c>
      <c r="B185" s="32" t="s">
        <v>475</v>
      </c>
      <c r="C185" s="89">
        <v>99</v>
      </c>
      <c r="D185" s="89">
        <v>31</v>
      </c>
    </row>
    <row r="186" spans="1:4" x14ac:dyDescent="0.25">
      <c r="A186" s="31" t="s">
        <v>159</v>
      </c>
      <c r="B186" s="32" t="s">
        <v>476</v>
      </c>
      <c r="C186" s="89">
        <v>81</v>
      </c>
      <c r="D186" s="89">
        <v>30</v>
      </c>
    </row>
    <row r="187" spans="1:4" x14ac:dyDescent="0.25">
      <c r="A187" s="31" t="s">
        <v>166</v>
      </c>
      <c r="B187" s="32" t="s">
        <v>477</v>
      </c>
      <c r="C187" s="89">
        <v>63</v>
      </c>
      <c r="D187" s="89" t="s">
        <v>862</v>
      </c>
    </row>
    <row r="188" spans="1:4" x14ac:dyDescent="0.25">
      <c r="A188" s="31" t="s">
        <v>173</v>
      </c>
      <c r="B188" s="32" t="s">
        <v>478</v>
      </c>
      <c r="C188" s="89">
        <v>98</v>
      </c>
      <c r="D188" s="89">
        <v>27</v>
      </c>
    </row>
    <row r="189" spans="1:4" x14ac:dyDescent="0.25">
      <c r="A189" s="31" t="s">
        <v>180</v>
      </c>
      <c r="B189" s="32" t="s">
        <v>479</v>
      </c>
      <c r="C189" s="89">
        <v>80</v>
      </c>
      <c r="D189" s="89">
        <v>33</v>
      </c>
    </row>
    <row r="190" spans="1:4" x14ac:dyDescent="0.25">
      <c r="A190" s="31" t="s">
        <v>187</v>
      </c>
      <c r="B190" s="32" t="s">
        <v>480</v>
      </c>
      <c r="C190" s="89">
        <v>62</v>
      </c>
      <c r="D190" s="89">
        <v>29</v>
      </c>
    </row>
    <row r="191" spans="1:4" x14ac:dyDescent="0.25">
      <c r="A191" s="31" t="s">
        <v>194</v>
      </c>
      <c r="B191" s="32" t="s">
        <v>481</v>
      </c>
      <c r="C191" s="89">
        <v>97</v>
      </c>
      <c r="D191" s="89">
        <v>31</v>
      </c>
    </row>
    <row r="192" spans="1:4" x14ac:dyDescent="0.25">
      <c r="A192" s="31" t="s">
        <v>201</v>
      </c>
      <c r="B192" s="32" t="s">
        <v>482</v>
      </c>
      <c r="C192" s="89">
        <v>79</v>
      </c>
      <c r="D192" s="89">
        <v>20</v>
      </c>
    </row>
    <row r="193" spans="1:4" x14ac:dyDescent="0.25">
      <c r="A193" s="31" t="s">
        <v>208</v>
      </c>
      <c r="B193" s="32" t="s">
        <v>483</v>
      </c>
      <c r="C193" s="89">
        <v>61</v>
      </c>
      <c r="D193" s="89">
        <v>20</v>
      </c>
    </row>
    <row r="194" spans="1:4" x14ac:dyDescent="0.25">
      <c r="A194" s="31" t="s">
        <v>242</v>
      </c>
      <c r="B194" s="32" t="s">
        <v>484</v>
      </c>
      <c r="C194" s="89">
        <v>141</v>
      </c>
      <c r="D194" s="89">
        <v>32</v>
      </c>
    </row>
    <row r="195" spans="1:4" x14ac:dyDescent="0.25">
      <c r="A195" s="31" t="s">
        <v>241</v>
      </c>
      <c r="B195" s="32" t="s">
        <v>485</v>
      </c>
      <c r="C195" s="89">
        <v>159</v>
      </c>
      <c r="D195" s="89">
        <v>23</v>
      </c>
    </row>
    <row r="196" spans="1:4" x14ac:dyDescent="0.25">
      <c r="A196" s="31" t="s">
        <v>240</v>
      </c>
      <c r="B196" s="32" t="s">
        <v>486</v>
      </c>
      <c r="C196" s="89">
        <v>177</v>
      </c>
      <c r="D196" s="89">
        <v>31</v>
      </c>
    </row>
    <row r="197" spans="1:4" x14ac:dyDescent="0.25">
      <c r="A197" s="31" t="s">
        <v>239</v>
      </c>
      <c r="B197" s="32" t="s">
        <v>487</v>
      </c>
      <c r="C197" s="89">
        <v>195</v>
      </c>
      <c r="D197" s="89">
        <v>27</v>
      </c>
    </row>
    <row r="198" spans="1:4" x14ac:dyDescent="0.25">
      <c r="A198" s="31" t="s">
        <v>228</v>
      </c>
      <c r="B198" s="32" t="s">
        <v>488</v>
      </c>
      <c r="C198" s="89">
        <v>140</v>
      </c>
      <c r="D198" s="89">
        <v>32</v>
      </c>
    </row>
    <row r="199" spans="1:4" x14ac:dyDescent="0.25">
      <c r="A199" s="31" t="s">
        <v>227</v>
      </c>
      <c r="B199" s="32" t="s">
        <v>489</v>
      </c>
      <c r="C199" s="89">
        <v>158</v>
      </c>
      <c r="D199" s="89">
        <v>29</v>
      </c>
    </row>
    <row r="200" spans="1:4" x14ac:dyDescent="0.25">
      <c r="A200" s="31" t="s">
        <v>226</v>
      </c>
      <c r="B200" s="32" t="s">
        <v>490</v>
      </c>
      <c r="C200" s="89">
        <v>176</v>
      </c>
      <c r="D200" s="89">
        <v>21</v>
      </c>
    </row>
    <row r="201" spans="1:4" x14ac:dyDescent="0.25">
      <c r="A201" s="31" t="s">
        <v>225</v>
      </c>
      <c r="B201" s="32" t="s">
        <v>491</v>
      </c>
      <c r="C201" s="89">
        <v>194</v>
      </c>
      <c r="D201" s="89">
        <v>25</v>
      </c>
    </row>
    <row r="202" spans="1:4" x14ac:dyDescent="0.25">
      <c r="A202" s="31" t="s">
        <v>217</v>
      </c>
      <c r="B202" s="32" t="s">
        <v>492</v>
      </c>
      <c r="C202" s="89">
        <v>139</v>
      </c>
      <c r="D202" s="89">
        <v>25</v>
      </c>
    </row>
    <row r="203" spans="1:4" x14ac:dyDescent="0.25">
      <c r="A203" s="31" t="s">
        <v>56</v>
      </c>
      <c r="B203" s="32" t="s">
        <v>493</v>
      </c>
      <c r="C203" s="89">
        <v>157</v>
      </c>
      <c r="D203" s="89">
        <v>31</v>
      </c>
    </row>
    <row r="204" spans="1:4" x14ac:dyDescent="0.25">
      <c r="A204" s="31" t="s">
        <v>63</v>
      </c>
      <c r="B204" s="32" t="s">
        <v>494</v>
      </c>
      <c r="C204" s="89">
        <v>175</v>
      </c>
      <c r="D204" s="89">
        <v>22</v>
      </c>
    </row>
    <row r="205" spans="1:4" x14ac:dyDescent="0.25">
      <c r="A205" s="31" t="s">
        <v>70</v>
      </c>
      <c r="B205" s="32" t="s">
        <v>495</v>
      </c>
      <c r="C205" s="89">
        <v>193</v>
      </c>
      <c r="D205" s="89">
        <v>33</v>
      </c>
    </row>
    <row r="206" spans="1:4" x14ac:dyDescent="0.25">
      <c r="A206" s="31" t="s">
        <v>77</v>
      </c>
      <c r="B206" s="32" t="s">
        <v>496</v>
      </c>
      <c r="C206" s="89">
        <v>138</v>
      </c>
      <c r="D206" s="89">
        <v>21</v>
      </c>
    </row>
    <row r="207" spans="1:4" x14ac:dyDescent="0.25">
      <c r="A207" s="31" t="s">
        <v>84</v>
      </c>
      <c r="B207" s="32" t="s">
        <v>497</v>
      </c>
      <c r="C207" s="89">
        <v>156</v>
      </c>
      <c r="D207" s="89">
        <v>31</v>
      </c>
    </row>
    <row r="208" spans="1:4" x14ac:dyDescent="0.25">
      <c r="A208" s="31" t="s">
        <v>91</v>
      </c>
      <c r="B208" s="32" t="s">
        <v>498</v>
      </c>
      <c r="C208" s="89">
        <v>174</v>
      </c>
      <c r="D208" s="89">
        <v>35</v>
      </c>
    </row>
    <row r="209" spans="1:4" x14ac:dyDescent="0.25">
      <c r="A209" s="31" t="s">
        <v>98</v>
      </c>
      <c r="B209" s="32" t="s">
        <v>499</v>
      </c>
      <c r="C209" s="89">
        <v>137</v>
      </c>
      <c r="D209" s="89">
        <v>26</v>
      </c>
    </row>
    <row r="210" spans="1:4" x14ac:dyDescent="0.25">
      <c r="A210" s="31" t="s">
        <v>105</v>
      </c>
      <c r="B210" s="32" t="s">
        <v>500</v>
      </c>
      <c r="C210" s="89">
        <v>155</v>
      </c>
      <c r="D210" s="89">
        <v>26</v>
      </c>
    </row>
    <row r="211" spans="1:4" x14ac:dyDescent="0.25">
      <c r="A211" s="31" t="s">
        <v>112</v>
      </c>
      <c r="B211" s="32" t="s">
        <v>501</v>
      </c>
      <c r="C211" s="89">
        <v>173</v>
      </c>
      <c r="D211" s="89">
        <v>30</v>
      </c>
    </row>
    <row r="212" spans="1:4" x14ac:dyDescent="0.25">
      <c r="A212" s="31" t="s">
        <v>119</v>
      </c>
      <c r="B212" s="32" t="s">
        <v>502</v>
      </c>
      <c r="C212" s="89">
        <v>136</v>
      </c>
      <c r="D212" s="89">
        <v>20</v>
      </c>
    </row>
    <row r="213" spans="1:4" x14ac:dyDescent="0.25">
      <c r="A213" s="31" t="s">
        <v>126</v>
      </c>
      <c r="B213" s="32" t="s">
        <v>503</v>
      </c>
      <c r="C213" s="89">
        <v>154</v>
      </c>
      <c r="D213" s="89">
        <v>31</v>
      </c>
    </row>
    <row r="214" spans="1:4" x14ac:dyDescent="0.25">
      <c r="A214" s="31" t="s">
        <v>133</v>
      </c>
      <c r="B214" s="32" t="s">
        <v>504</v>
      </c>
      <c r="C214" s="89">
        <v>172</v>
      </c>
      <c r="D214" s="89">
        <v>30</v>
      </c>
    </row>
    <row r="215" spans="1:4" x14ac:dyDescent="0.25">
      <c r="A215" s="31" t="s">
        <v>140</v>
      </c>
      <c r="B215" s="32" t="s">
        <v>505</v>
      </c>
      <c r="C215" s="89">
        <v>135</v>
      </c>
      <c r="D215" s="89">
        <v>23</v>
      </c>
    </row>
    <row r="216" spans="1:4" x14ac:dyDescent="0.25">
      <c r="A216" s="31" t="s">
        <v>50</v>
      </c>
      <c r="B216" s="32" t="s">
        <v>506</v>
      </c>
      <c r="C216" s="89">
        <v>153</v>
      </c>
      <c r="D216" s="89">
        <v>28</v>
      </c>
    </row>
    <row r="217" spans="1:4" x14ac:dyDescent="0.25">
      <c r="A217" s="31" t="s">
        <v>153</v>
      </c>
      <c r="B217" s="32" t="s">
        <v>507</v>
      </c>
      <c r="C217" s="89">
        <v>171</v>
      </c>
      <c r="D217" s="89">
        <v>29</v>
      </c>
    </row>
    <row r="218" spans="1:4" x14ac:dyDescent="0.25">
      <c r="A218" s="31" t="s">
        <v>160</v>
      </c>
      <c r="B218" s="32" t="s">
        <v>508</v>
      </c>
      <c r="C218" s="89">
        <v>116</v>
      </c>
      <c r="D218" s="89">
        <v>20</v>
      </c>
    </row>
    <row r="219" spans="1:4" x14ac:dyDescent="0.25">
      <c r="A219" s="31" t="s">
        <v>167</v>
      </c>
      <c r="B219" s="32" t="s">
        <v>509</v>
      </c>
      <c r="C219" s="89">
        <v>134</v>
      </c>
      <c r="D219" s="89">
        <v>41</v>
      </c>
    </row>
    <row r="220" spans="1:4" x14ac:dyDescent="0.25">
      <c r="A220" s="31" t="s">
        <v>174</v>
      </c>
      <c r="B220" s="32" t="s">
        <v>510</v>
      </c>
      <c r="C220" s="89">
        <v>152</v>
      </c>
      <c r="D220" s="89">
        <v>32</v>
      </c>
    </row>
    <row r="221" spans="1:4" x14ac:dyDescent="0.25">
      <c r="A221" s="31" t="s">
        <v>181</v>
      </c>
      <c r="B221" s="32" t="s">
        <v>511</v>
      </c>
      <c r="C221" s="89">
        <v>170</v>
      </c>
      <c r="D221" s="89">
        <v>19</v>
      </c>
    </row>
    <row r="222" spans="1:4" x14ac:dyDescent="0.25">
      <c r="A222" s="31" t="s">
        <v>188</v>
      </c>
      <c r="B222" s="32" t="s">
        <v>512</v>
      </c>
      <c r="C222" s="89">
        <v>115</v>
      </c>
      <c r="D222" s="89">
        <v>31</v>
      </c>
    </row>
    <row r="223" spans="1:4" x14ac:dyDescent="0.25">
      <c r="A223" s="31" t="s">
        <v>195</v>
      </c>
      <c r="B223" s="32" t="s">
        <v>513</v>
      </c>
      <c r="C223" s="89">
        <v>133</v>
      </c>
      <c r="D223" s="89">
        <v>31</v>
      </c>
    </row>
    <row r="224" spans="1:4" x14ac:dyDescent="0.25">
      <c r="A224" s="31" t="s">
        <v>202</v>
      </c>
      <c r="B224" s="32" t="s">
        <v>514</v>
      </c>
      <c r="C224" s="89">
        <v>151</v>
      </c>
      <c r="D224" s="89">
        <v>27</v>
      </c>
    </row>
    <row r="225" spans="1:4" x14ac:dyDescent="0.25">
      <c r="A225" s="31" t="s">
        <v>209</v>
      </c>
      <c r="B225" s="32" t="s">
        <v>515</v>
      </c>
      <c r="C225" s="89">
        <v>169</v>
      </c>
      <c r="D225" s="89">
        <v>31</v>
      </c>
    </row>
    <row r="226" spans="1:4" x14ac:dyDescent="0.25">
      <c r="A226" s="31" t="s">
        <v>238</v>
      </c>
      <c r="B226" s="32" t="s">
        <v>516</v>
      </c>
      <c r="C226" s="89">
        <v>212</v>
      </c>
      <c r="D226" s="89">
        <v>22</v>
      </c>
    </row>
    <row r="227" spans="1:4" x14ac:dyDescent="0.25">
      <c r="A227" s="31" t="s">
        <v>237</v>
      </c>
      <c r="B227" s="32" t="s">
        <v>517</v>
      </c>
      <c r="C227" s="89">
        <v>227</v>
      </c>
      <c r="D227" s="89">
        <v>32</v>
      </c>
    </row>
    <row r="228" spans="1:4" x14ac:dyDescent="0.25">
      <c r="A228" s="31" t="s">
        <v>236</v>
      </c>
      <c r="B228" s="32" t="s">
        <v>518</v>
      </c>
      <c r="C228" s="89">
        <v>240</v>
      </c>
      <c r="D228" s="89">
        <v>23</v>
      </c>
    </row>
    <row r="229" spans="1:4" x14ac:dyDescent="0.25">
      <c r="A229" s="31" t="s">
        <v>235</v>
      </c>
      <c r="B229" s="32" t="s">
        <v>519</v>
      </c>
      <c r="C229" s="89">
        <v>251</v>
      </c>
      <c r="D229" s="89">
        <v>19</v>
      </c>
    </row>
    <row r="230" spans="1:4" x14ac:dyDescent="0.25">
      <c r="A230" s="31" t="s">
        <v>224</v>
      </c>
      <c r="B230" s="32" t="s">
        <v>520</v>
      </c>
      <c r="C230" s="89">
        <v>211</v>
      </c>
      <c r="D230" s="89">
        <v>28</v>
      </c>
    </row>
    <row r="231" spans="1:4" x14ac:dyDescent="0.25">
      <c r="A231" s="31" t="s">
        <v>223</v>
      </c>
      <c r="B231" s="32" t="s">
        <v>521</v>
      </c>
      <c r="C231" s="89">
        <v>226</v>
      </c>
      <c r="D231" s="89">
        <v>23</v>
      </c>
    </row>
    <row r="232" spans="1:4" x14ac:dyDescent="0.25">
      <c r="A232" s="31" t="s">
        <v>222</v>
      </c>
      <c r="B232" s="32" t="s">
        <v>522</v>
      </c>
      <c r="C232" s="89">
        <v>239</v>
      </c>
      <c r="D232" s="89">
        <v>32</v>
      </c>
    </row>
    <row r="233" spans="1:4" x14ac:dyDescent="0.25">
      <c r="A233" s="31" t="s">
        <v>221</v>
      </c>
      <c r="B233" s="32" t="s">
        <v>523</v>
      </c>
      <c r="C233" s="89">
        <v>250</v>
      </c>
      <c r="D233" s="89">
        <v>30</v>
      </c>
    </row>
    <row r="234" spans="1:4" x14ac:dyDescent="0.25">
      <c r="A234" s="31" t="s">
        <v>216</v>
      </c>
      <c r="B234" s="32" t="s">
        <v>524</v>
      </c>
      <c r="C234" s="89">
        <v>210</v>
      </c>
      <c r="D234" s="89">
        <v>31</v>
      </c>
    </row>
    <row r="235" spans="1:4" x14ac:dyDescent="0.25">
      <c r="A235" s="31" t="s">
        <v>57</v>
      </c>
      <c r="B235" s="32" t="s">
        <v>525</v>
      </c>
      <c r="C235" s="89">
        <v>225</v>
      </c>
      <c r="D235" s="89">
        <v>24</v>
      </c>
    </row>
    <row r="236" spans="1:4" x14ac:dyDescent="0.25">
      <c r="A236" s="31" t="s">
        <v>64</v>
      </c>
      <c r="B236" s="32" t="s">
        <v>526</v>
      </c>
      <c r="C236" s="89">
        <v>238</v>
      </c>
      <c r="D236" s="89">
        <v>30</v>
      </c>
    </row>
    <row r="237" spans="1:4" x14ac:dyDescent="0.25">
      <c r="A237" s="31" t="s">
        <v>71</v>
      </c>
      <c r="B237" s="32" t="s">
        <v>527</v>
      </c>
      <c r="C237" s="89">
        <v>249</v>
      </c>
      <c r="D237" s="89">
        <v>20</v>
      </c>
    </row>
    <row r="238" spans="1:4" x14ac:dyDescent="0.25">
      <c r="A238" s="31" t="s">
        <v>78</v>
      </c>
      <c r="B238" s="32" t="s">
        <v>528</v>
      </c>
      <c r="C238" s="89">
        <v>192</v>
      </c>
      <c r="D238" s="89">
        <v>30</v>
      </c>
    </row>
    <row r="239" spans="1:4" x14ac:dyDescent="0.25">
      <c r="A239" s="31" t="s">
        <v>85</v>
      </c>
      <c r="B239" s="32" t="s">
        <v>529</v>
      </c>
      <c r="C239" s="89">
        <v>209</v>
      </c>
      <c r="D239" s="89">
        <v>24</v>
      </c>
    </row>
    <row r="240" spans="1:4" x14ac:dyDescent="0.25">
      <c r="A240" s="31" t="s">
        <v>92</v>
      </c>
      <c r="B240" s="32" t="s">
        <v>530</v>
      </c>
      <c r="C240" s="89">
        <v>224</v>
      </c>
      <c r="D240" s="89">
        <v>34</v>
      </c>
    </row>
    <row r="241" spans="1:4" x14ac:dyDescent="0.25">
      <c r="A241" s="31" t="s">
        <v>99</v>
      </c>
      <c r="B241" s="32" t="s">
        <v>531</v>
      </c>
      <c r="C241" s="89">
        <v>237</v>
      </c>
      <c r="D241" s="89">
        <v>78</v>
      </c>
    </row>
    <row r="242" spans="1:4" x14ac:dyDescent="0.25">
      <c r="A242" s="31" t="s">
        <v>106</v>
      </c>
      <c r="B242" s="32" t="s">
        <v>532</v>
      </c>
      <c r="C242" s="89">
        <v>248</v>
      </c>
      <c r="D242" s="89">
        <v>21</v>
      </c>
    </row>
    <row r="243" spans="1:4" x14ac:dyDescent="0.25">
      <c r="A243" s="31" t="s">
        <v>113</v>
      </c>
      <c r="B243" s="32" t="s">
        <v>533</v>
      </c>
      <c r="C243" s="89">
        <v>191</v>
      </c>
      <c r="D243" s="89">
        <v>45</v>
      </c>
    </row>
    <row r="244" spans="1:4" x14ac:dyDescent="0.25">
      <c r="A244" s="31" t="s">
        <v>120</v>
      </c>
      <c r="B244" s="32" t="s">
        <v>534</v>
      </c>
      <c r="C244" s="89">
        <v>208</v>
      </c>
      <c r="D244" s="89">
        <v>33</v>
      </c>
    </row>
    <row r="245" spans="1:4" x14ac:dyDescent="0.25">
      <c r="A245" s="31" t="s">
        <v>127</v>
      </c>
      <c r="B245" s="32" t="s">
        <v>535</v>
      </c>
      <c r="C245" s="89">
        <v>223</v>
      </c>
      <c r="D245" s="89">
        <v>31</v>
      </c>
    </row>
    <row r="246" spans="1:4" x14ac:dyDescent="0.25">
      <c r="A246" s="31" t="s">
        <v>134</v>
      </c>
      <c r="B246" s="32" t="s">
        <v>536</v>
      </c>
      <c r="C246" s="89">
        <v>236</v>
      </c>
      <c r="D246" s="89">
        <v>37</v>
      </c>
    </row>
    <row r="247" spans="1:4" x14ac:dyDescent="0.25">
      <c r="A247" s="31" t="s">
        <v>141</v>
      </c>
      <c r="B247" s="32" t="s">
        <v>537</v>
      </c>
      <c r="C247" s="89">
        <v>247</v>
      </c>
      <c r="D247" s="89">
        <v>31</v>
      </c>
    </row>
    <row r="248" spans="1:4" x14ac:dyDescent="0.25">
      <c r="A248" s="31" t="s">
        <v>147</v>
      </c>
      <c r="B248" s="32" t="s">
        <v>538</v>
      </c>
      <c r="C248" s="89">
        <v>190</v>
      </c>
      <c r="D248" s="89">
        <v>21</v>
      </c>
    </row>
    <row r="249" spans="1:4" x14ac:dyDescent="0.25">
      <c r="A249" s="31" t="s">
        <v>154</v>
      </c>
      <c r="B249" s="32" t="s">
        <v>539</v>
      </c>
      <c r="C249" s="89">
        <v>207</v>
      </c>
      <c r="D249" s="89">
        <v>31</v>
      </c>
    </row>
    <row r="250" spans="1:4" x14ac:dyDescent="0.25">
      <c r="A250" s="31" t="s">
        <v>161</v>
      </c>
      <c r="B250" s="32" t="s">
        <v>540</v>
      </c>
      <c r="C250" s="89">
        <v>222</v>
      </c>
      <c r="D250" s="89">
        <v>41</v>
      </c>
    </row>
    <row r="251" spans="1:4" x14ac:dyDescent="0.25">
      <c r="A251" s="31" t="s">
        <v>168</v>
      </c>
      <c r="B251" s="32" t="s">
        <v>541</v>
      </c>
      <c r="C251" s="89">
        <v>235</v>
      </c>
      <c r="D251" s="89">
        <v>21</v>
      </c>
    </row>
    <row r="252" spans="1:4" x14ac:dyDescent="0.25">
      <c r="A252" s="31" t="s">
        <v>175</v>
      </c>
      <c r="B252" s="32" t="s">
        <v>542</v>
      </c>
      <c r="C252" s="89">
        <v>189</v>
      </c>
      <c r="D252" s="89">
        <v>33</v>
      </c>
    </row>
    <row r="253" spans="1:4" x14ac:dyDescent="0.25">
      <c r="A253" s="31" t="s">
        <v>182</v>
      </c>
      <c r="B253" s="32" t="s">
        <v>543</v>
      </c>
      <c r="C253" s="89">
        <v>206</v>
      </c>
      <c r="D253" s="89">
        <v>31</v>
      </c>
    </row>
    <row r="254" spans="1:4" x14ac:dyDescent="0.25">
      <c r="A254" s="31" t="s">
        <v>189</v>
      </c>
      <c r="B254" s="32" t="s">
        <v>544</v>
      </c>
      <c r="C254" s="89">
        <v>221</v>
      </c>
      <c r="D254" s="89">
        <v>25</v>
      </c>
    </row>
    <row r="255" spans="1:4" x14ac:dyDescent="0.25">
      <c r="A255" s="31" t="s">
        <v>196</v>
      </c>
      <c r="B255" s="32" t="s">
        <v>545</v>
      </c>
      <c r="C255" s="89">
        <v>188</v>
      </c>
      <c r="D255" s="89">
        <v>20</v>
      </c>
    </row>
    <row r="256" spans="1:4" x14ac:dyDescent="0.25">
      <c r="A256" s="31" t="s">
        <v>203</v>
      </c>
      <c r="B256" s="32" t="s">
        <v>546</v>
      </c>
      <c r="C256" s="89">
        <v>205</v>
      </c>
      <c r="D256" s="89">
        <v>31</v>
      </c>
    </row>
    <row r="257" spans="1:4" x14ac:dyDescent="0.25">
      <c r="A257" s="31" t="s">
        <v>210</v>
      </c>
      <c r="B257" s="32" t="s">
        <v>547</v>
      </c>
      <c r="C257" s="89">
        <v>187</v>
      </c>
      <c r="D257" s="89">
        <v>21</v>
      </c>
    </row>
  </sheetData>
  <sheetProtection formatCells="0"/>
  <customSheetViews>
    <customSheetView guid="{CEE82286-2DC3-4150-9989-30CF9F331A30}" scale="75">
      <selection activeCell="E14" sqref="E14"/>
      <pageMargins left="0.75" right="0.75" top="1" bottom="1" header="0.5" footer="0.5"/>
      <pageSetup orientation="portrait" r:id="rId1"/>
      <headerFooter alignWithMargins="0"/>
    </customSheetView>
    <customSheetView guid="{4FF8E199-9DCD-4A1D-B440-7626F2F9D72A}" scale="75">
      <selection activeCell="E14" sqref="E14"/>
      <pageMargins left="0.75" right="0.75" top="1" bottom="1" header="0.5" footer="0.5"/>
      <pageSetup orientation="portrait" r:id="rId2"/>
      <headerFooter alignWithMargins="0"/>
    </customSheetView>
  </customSheetViews>
  <phoneticPr fontId="7" type="noConversion"/>
  <pageMargins left="0.75" right="0.75" top="1" bottom="1" header="0.5" footer="0.5"/>
  <pageSetup orientation="portrait" r:id="rId3"/>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R86"/>
  <sheetViews>
    <sheetView topLeftCell="A51" zoomScale="80" zoomScaleNormal="80" workbookViewId="0">
      <selection activeCell="AH52" sqref="AH52"/>
    </sheetView>
  </sheetViews>
  <sheetFormatPr defaultColWidth="4.33203125" defaultRowHeight="13.2" x14ac:dyDescent="0.25"/>
  <cols>
    <col min="38" max="38" width="5.6640625" hidden="1" customWidth="1"/>
    <col min="41" max="41" width="4.33203125" customWidth="1"/>
    <col min="54" max="55" width="4.33203125" hidden="1" customWidth="1"/>
  </cols>
  <sheetData>
    <row r="1" spans="1:70" ht="15.6" x14ac:dyDescent="0.3">
      <c r="A1" s="2"/>
      <c r="B1" s="3"/>
      <c r="C1" s="3"/>
      <c r="D1" s="3"/>
      <c r="E1" s="3"/>
      <c r="F1" s="3"/>
      <c r="G1" s="152" t="s">
        <v>4</v>
      </c>
      <c r="H1" s="153"/>
      <c r="I1" s="153"/>
      <c r="J1" s="153"/>
      <c r="K1" s="153"/>
      <c r="L1" s="153"/>
      <c r="M1" s="153"/>
      <c r="N1" s="153"/>
      <c r="O1" s="153"/>
      <c r="P1" s="153"/>
      <c r="Q1" s="153"/>
      <c r="R1" s="153"/>
      <c r="S1" s="153"/>
      <c r="T1" s="153"/>
      <c r="U1" s="153"/>
      <c r="V1" s="153"/>
      <c r="W1" s="153"/>
      <c r="X1" s="153"/>
      <c r="Y1" s="153"/>
      <c r="Z1" s="153"/>
      <c r="AA1" s="153"/>
      <c r="AB1" s="153"/>
      <c r="AC1" s="153"/>
      <c r="AD1" s="153"/>
      <c r="AE1" s="153"/>
      <c r="AF1" s="153"/>
      <c r="AG1" s="153"/>
      <c r="AH1" s="48"/>
      <c r="AI1" s="48"/>
      <c r="AJ1" s="48"/>
      <c r="AK1" s="48"/>
      <c r="AL1" s="48"/>
      <c r="AM1" s="48"/>
      <c r="AN1" s="4" t="s">
        <v>843</v>
      </c>
      <c r="AO1" s="9"/>
    </row>
    <row r="2" spans="1:70" ht="15.6" x14ac:dyDescent="0.3">
      <c r="A2" s="5"/>
      <c r="B2" s="6"/>
      <c r="C2" s="6"/>
      <c r="D2" s="6"/>
      <c r="E2" s="6"/>
      <c r="F2" s="6"/>
      <c r="G2" s="154" t="s">
        <v>846</v>
      </c>
      <c r="H2" s="155"/>
      <c r="I2" s="155"/>
      <c r="J2" s="155"/>
      <c r="K2" s="155"/>
      <c r="L2" s="155"/>
      <c r="M2" s="155"/>
      <c r="N2" s="155"/>
      <c r="O2" s="155"/>
      <c r="P2" s="155"/>
      <c r="Q2" s="155"/>
      <c r="R2" s="155"/>
      <c r="S2" s="155"/>
      <c r="T2" s="155"/>
      <c r="U2" s="155"/>
      <c r="V2" s="155"/>
      <c r="W2" s="155"/>
      <c r="X2" s="155"/>
      <c r="Y2" s="155"/>
      <c r="Z2" s="155"/>
      <c r="AA2" s="155"/>
      <c r="AB2" s="155"/>
      <c r="AC2" s="155"/>
      <c r="AD2" s="155"/>
      <c r="AE2" s="155"/>
      <c r="AF2" s="155"/>
      <c r="AG2" s="155"/>
      <c r="AH2" s="158" t="s">
        <v>847</v>
      </c>
      <c r="AI2" s="158"/>
      <c r="AJ2" s="158"/>
      <c r="AK2" s="160"/>
      <c r="AL2" s="160"/>
      <c r="AM2" s="160"/>
      <c r="AN2" s="161"/>
      <c r="AO2" s="9"/>
    </row>
    <row r="3" spans="1:70" ht="15.6" x14ac:dyDescent="0.3">
      <c r="A3" s="5"/>
      <c r="B3" s="6"/>
      <c r="C3" s="6"/>
      <c r="D3" s="6"/>
      <c r="E3" s="6"/>
      <c r="F3" s="6"/>
      <c r="G3" s="97"/>
      <c r="H3" s="11"/>
      <c r="I3" s="11"/>
      <c r="J3" s="11"/>
      <c r="K3" s="11"/>
      <c r="L3" s="11"/>
      <c r="M3" s="11"/>
      <c r="N3" s="11"/>
      <c r="O3" s="11"/>
      <c r="P3" s="11"/>
      <c r="Q3" s="11"/>
      <c r="R3" s="11"/>
      <c r="S3" s="11"/>
      <c r="T3" s="11"/>
      <c r="U3" s="11"/>
      <c r="V3" s="11"/>
      <c r="W3" s="11"/>
      <c r="X3" s="11"/>
      <c r="Y3" s="11"/>
      <c r="Z3" s="11"/>
      <c r="AA3" s="11"/>
      <c r="AB3" s="11"/>
      <c r="AC3" s="11"/>
      <c r="AD3" s="11"/>
      <c r="AE3" s="11"/>
      <c r="AF3" s="11"/>
      <c r="AG3" s="11"/>
      <c r="AH3" s="158" t="s">
        <v>848</v>
      </c>
      <c r="AI3" s="158"/>
      <c r="AJ3" s="158"/>
      <c r="AK3" s="158"/>
      <c r="AL3" s="158"/>
      <c r="AM3" s="158"/>
      <c r="AN3" s="159"/>
      <c r="AO3" s="9"/>
    </row>
    <row r="4" spans="1:70" x14ac:dyDescent="0.25">
      <c r="A4" s="7"/>
      <c r="B4" s="50"/>
      <c r="C4" s="50"/>
      <c r="D4" s="50"/>
      <c r="E4" s="50"/>
      <c r="F4" s="50"/>
      <c r="G4" s="156"/>
      <c r="H4" s="157"/>
      <c r="I4" s="157"/>
      <c r="J4" s="157"/>
      <c r="K4" s="157"/>
      <c r="L4" s="157"/>
      <c r="M4" s="157"/>
      <c r="N4" s="157"/>
      <c r="O4" s="157"/>
      <c r="P4" s="157"/>
      <c r="Q4" s="157"/>
      <c r="R4" s="157"/>
      <c r="S4" s="157"/>
      <c r="T4" s="157"/>
      <c r="U4" s="157"/>
      <c r="V4" s="157"/>
      <c r="W4" s="157"/>
      <c r="X4" s="157"/>
      <c r="Y4" s="157"/>
      <c r="Z4" s="157"/>
      <c r="AA4" s="157"/>
      <c r="AB4" s="157"/>
      <c r="AC4" s="157"/>
      <c r="AD4" s="157"/>
      <c r="AE4" s="157"/>
      <c r="AF4" s="157"/>
      <c r="AG4" s="157"/>
      <c r="AH4" s="51"/>
      <c r="AI4" s="51"/>
      <c r="AJ4" s="51"/>
      <c r="AK4" s="51"/>
      <c r="AL4" s="51"/>
      <c r="AM4" s="51"/>
      <c r="AN4" s="8" t="s">
        <v>5</v>
      </c>
      <c r="AO4" s="9"/>
    </row>
    <row r="5" spans="1:70" ht="22.2" customHeight="1" x14ac:dyDescent="0.25">
      <c r="A5" s="111" t="s">
        <v>853</v>
      </c>
      <c r="B5" s="112"/>
      <c r="C5" s="112"/>
      <c r="D5" s="112"/>
      <c r="E5" s="112"/>
      <c r="F5" s="113"/>
      <c r="G5" s="111" t="s">
        <v>854</v>
      </c>
      <c r="H5" s="112"/>
      <c r="I5" s="112"/>
      <c r="J5" s="113"/>
      <c r="K5" s="111" t="s">
        <v>855</v>
      </c>
      <c r="L5" s="112"/>
      <c r="M5" s="112"/>
      <c r="N5" s="112"/>
      <c r="O5" s="113"/>
      <c r="P5" s="111" t="s">
        <v>856</v>
      </c>
      <c r="Q5" s="112"/>
      <c r="R5" s="112"/>
      <c r="S5" s="112"/>
      <c r="T5" s="112"/>
      <c r="U5" s="112"/>
      <c r="V5" s="112"/>
      <c r="W5" s="112"/>
      <c r="X5" s="112"/>
      <c r="Y5" s="112"/>
      <c r="Z5" s="113"/>
      <c r="AA5" s="111" t="s">
        <v>849</v>
      </c>
      <c r="AB5" s="112"/>
      <c r="AC5" s="112"/>
      <c r="AD5" s="112"/>
      <c r="AE5" s="112"/>
      <c r="AF5" s="112"/>
      <c r="AG5" s="113"/>
      <c r="AH5" s="111" t="s">
        <v>857</v>
      </c>
      <c r="AI5" s="112"/>
      <c r="AJ5" s="112"/>
      <c r="AK5" s="112"/>
      <c r="AL5" s="112"/>
      <c r="AM5" s="112"/>
      <c r="AN5" s="113"/>
    </row>
    <row r="6" spans="1:70" ht="12.45" customHeight="1" thickBot="1" x14ac:dyDescent="0.3">
      <c r="A6" s="98"/>
      <c r="B6" s="99"/>
      <c r="C6" s="99"/>
      <c r="D6" s="99"/>
      <c r="E6" s="99"/>
      <c r="F6" s="99"/>
      <c r="G6" s="99"/>
      <c r="H6" s="99"/>
      <c r="I6" s="99"/>
      <c r="J6" s="99"/>
      <c r="K6" s="99"/>
      <c r="L6" s="99"/>
      <c r="M6" s="100"/>
      <c r="N6" s="100"/>
      <c r="O6" s="100"/>
      <c r="P6" s="100"/>
      <c r="Q6" s="99"/>
      <c r="R6" s="100"/>
      <c r="S6" s="100"/>
      <c r="T6" s="100"/>
      <c r="U6" s="100"/>
      <c r="V6" s="100"/>
      <c r="W6" s="99"/>
      <c r="X6" s="100"/>
      <c r="Y6" s="100"/>
      <c r="Z6" s="100"/>
      <c r="AA6" s="100"/>
      <c r="AB6" s="100"/>
      <c r="AC6" s="99"/>
      <c r="AD6" s="100"/>
      <c r="AE6" s="100"/>
      <c r="AF6" s="100"/>
      <c r="AG6" s="100"/>
      <c r="AH6" s="100"/>
      <c r="AI6" s="100"/>
      <c r="AJ6" s="100"/>
      <c r="AK6" s="100"/>
      <c r="AL6" s="100"/>
      <c r="AM6" s="100"/>
      <c r="AN6" s="100"/>
    </row>
    <row r="7" spans="1:70" ht="15" customHeight="1" x14ac:dyDescent="0.25">
      <c r="A7" s="120" t="s">
        <v>11</v>
      </c>
      <c r="B7" s="121"/>
      <c r="C7" s="121"/>
      <c r="D7" s="121"/>
      <c r="E7" s="121"/>
      <c r="F7" s="121"/>
      <c r="G7" s="121"/>
      <c r="H7" s="121"/>
      <c r="I7" s="121"/>
      <c r="J7" s="121"/>
      <c r="K7" s="121"/>
      <c r="L7" s="121"/>
      <c r="M7" s="121"/>
      <c r="N7" s="121"/>
      <c r="O7" s="121"/>
      <c r="P7" s="121"/>
      <c r="Q7" s="122" t="s">
        <v>10</v>
      </c>
      <c r="R7" s="123"/>
      <c r="S7" s="123"/>
      <c r="T7" s="123"/>
      <c r="U7" s="123"/>
      <c r="V7" s="123"/>
      <c r="W7" s="123"/>
      <c r="X7" s="123"/>
      <c r="Y7" s="123"/>
      <c r="Z7" s="123"/>
      <c r="AA7" s="123"/>
      <c r="AB7" s="123"/>
      <c r="AC7" s="123"/>
      <c r="AD7" s="123"/>
      <c r="AE7" s="123"/>
      <c r="AF7" s="123"/>
      <c r="AG7" s="123"/>
      <c r="AH7" s="123"/>
      <c r="AI7" s="123"/>
      <c r="AJ7" s="123"/>
      <c r="AK7" s="123"/>
      <c r="AL7" s="123"/>
      <c r="AM7" s="123"/>
      <c r="AN7" s="124"/>
      <c r="AO7" s="11"/>
    </row>
    <row r="8" spans="1:70" ht="22.2" customHeight="1" thickBot="1" x14ac:dyDescent="0.3">
      <c r="A8" s="118" t="s">
        <v>555</v>
      </c>
      <c r="B8" s="119"/>
      <c r="C8" s="119"/>
      <c r="D8" s="119"/>
      <c r="E8" s="119"/>
      <c r="F8" s="119"/>
      <c r="G8" s="119"/>
      <c r="H8" s="119"/>
      <c r="I8" s="119"/>
      <c r="J8" s="119"/>
      <c r="K8" s="119"/>
      <c r="L8" s="119"/>
      <c r="M8" s="119"/>
      <c r="N8" s="119"/>
      <c r="O8" s="119"/>
      <c r="P8" s="119"/>
      <c r="Q8" s="125" t="s">
        <v>851</v>
      </c>
      <c r="R8" s="126"/>
      <c r="S8" s="126"/>
      <c r="T8" s="126"/>
      <c r="U8" s="126"/>
      <c r="V8" s="126"/>
      <c r="W8" s="126"/>
      <c r="X8" s="126"/>
      <c r="Y8" s="126"/>
      <c r="Z8" s="126"/>
      <c r="AA8" s="126"/>
      <c r="AB8" s="126"/>
      <c r="AC8" s="126"/>
      <c r="AD8" s="126"/>
      <c r="AE8" s="126"/>
      <c r="AF8" s="126"/>
      <c r="AG8" s="126"/>
      <c r="AH8" s="126"/>
      <c r="AI8" s="126"/>
      <c r="AJ8" s="126"/>
      <c r="AK8" s="126"/>
      <c r="AL8" s="126"/>
      <c r="AM8" s="126"/>
      <c r="AN8" s="127"/>
      <c r="AO8" s="12"/>
    </row>
    <row r="9" spans="1:70" ht="22.2" customHeight="1" thickBot="1" x14ac:dyDescent="0.3">
      <c r="A9" s="99"/>
      <c r="B9" s="99"/>
      <c r="C9" s="99"/>
      <c r="D9" s="99"/>
      <c r="E9" s="99"/>
      <c r="F9" s="99"/>
      <c r="G9" s="99"/>
      <c r="H9" s="99"/>
      <c r="I9" s="99"/>
      <c r="J9" s="99"/>
      <c r="K9" s="99"/>
      <c r="L9" s="99"/>
      <c r="M9" s="99"/>
      <c r="N9" s="99"/>
      <c r="O9" s="99"/>
      <c r="P9" s="99"/>
      <c r="Q9" s="146" t="s">
        <v>850</v>
      </c>
      <c r="R9" s="147"/>
      <c r="S9" s="147"/>
      <c r="T9" s="147"/>
      <c r="U9" s="147"/>
      <c r="V9" s="147"/>
      <c r="W9" s="147"/>
      <c r="X9" s="147"/>
      <c r="Y9" s="147"/>
      <c r="Z9" s="147"/>
      <c r="AA9" s="147"/>
      <c r="AB9" s="147"/>
      <c r="AC9" s="147"/>
      <c r="AD9" s="147"/>
      <c r="AE9" s="147"/>
      <c r="AF9" s="147"/>
      <c r="AG9" s="147"/>
      <c r="AH9" s="147"/>
      <c r="AI9" s="147"/>
      <c r="AJ9" s="147"/>
      <c r="AK9" s="147"/>
      <c r="AL9" s="147"/>
      <c r="AM9" s="147"/>
      <c r="AN9" s="148"/>
      <c r="AO9" s="12"/>
    </row>
    <row r="10" spans="1:70" ht="22.2" customHeight="1" x14ac:dyDescent="0.25">
      <c r="Q10" s="46"/>
      <c r="R10" s="46"/>
      <c r="S10" s="46"/>
      <c r="T10" s="46"/>
      <c r="U10" s="46"/>
      <c r="V10" s="46"/>
      <c r="W10" s="46"/>
      <c r="X10" s="46"/>
      <c r="Y10" s="46"/>
      <c r="Z10" s="46"/>
      <c r="AA10" s="46"/>
      <c r="AB10" s="46"/>
      <c r="AC10" s="46"/>
      <c r="AD10" s="47"/>
      <c r="AE10" s="47"/>
      <c r="AF10" s="47"/>
      <c r="AG10" s="47"/>
      <c r="AH10" s="47"/>
      <c r="AI10" s="47"/>
      <c r="AJ10" s="47"/>
      <c r="AK10" s="90"/>
      <c r="AL10" s="47"/>
      <c r="AM10" s="47"/>
      <c r="AN10" s="47"/>
    </row>
    <row r="11" spans="1:70" ht="15" customHeight="1" x14ac:dyDescent="0.25">
      <c r="Q11" s="12"/>
      <c r="R11" s="12"/>
      <c r="S11" s="12"/>
      <c r="T11" s="12"/>
      <c r="U11" s="12"/>
      <c r="V11" s="12"/>
      <c r="W11" s="12"/>
      <c r="X11" s="12"/>
      <c r="Y11" s="12"/>
      <c r="Z11" s="12"/>
      <c r="AA11" s="12"/>
      <c r="AB11" s="12"/>
      <c r="AC11" s="24"/>
      <c r="AD11" s="13"/>
      <c r="AE11" s="13"/>
      <c r="AF11" s="13"/>
      <c r="AG11" s="13"/>
      <c r="AH11" s="13"/>
      <c r="AI11" s="13"/>
      <c r="AJ11" s="13"/>
      <c r="AK11" s="91"/>
      <c r="AL11" s="13"/>
      <c r="AN11" s="13"/>
    </row>
    <row r="12" spans="1:70" ht="15" customHeight="1" x14ac:dyDescent="0.3">
      <c r="C12" s="28" t="s">
        <v>9</v>
      </c>
      <c r="S12" s="49"/>
      <c r="V12" s="49"/>
      <c r="Y12" s="49"/>
      <c r="AB12" s="49"/>
      <c r="AD12" s="49"/>
      <c r="AG12" s="49"/>
      <c r="AH12" s="1"/>
      <c r="AI12" s="1"/>
      <c r="AK12" s="54"/>
      <c r="AN12" s="26" t="s">
        <v>838</v>
      </c>
      <c r="BG12" s="25" t="s">
        <v>288</v>
      </c>
    </row>
    <row r="13" spans="1:70" ht="15" customHeight="1" thickBot="1" x14ac:dyDescent="0.35">
      <c r="AK13" s="54"/>
      <c r="AL13">
        <f>IF(ISBLANK(AK13),AL12,AK13)</f>
        <v>0</v>
      </c>
      <c r="AM13" s="52"/>
      <c r="AN13" s="53"/>
      <c r="AO13" s="53"/>
      <c r="AP13" s="53"/>
      <c r="AQ13" s="53"/>
      <c r="AR13" s="53"/>
      <c r="AS13" s="53"/>
      <c r="AT13" s="53"/>
      <c r="AU13" s="53"/>
      <c r="AV13" s="53"/>
      <c r="AW13" s="53"/>
      <c r="AX13" s="53"/>
      <c r="AY13" s="53"/>
      <c r="AZ13" s="53"/>
      <c r="BA13" s="53"/>
      <c r="BB13" s="54" t="str">
        <f>IF(COUNTA(AM13:BA13)&gt;0,ROW()-12,"")</f>
        <v/>
      </c>
      <c r="BC13" s="54" t="str">
        <f>IF(COUNTA(AM$13:AM$54)&gt;0,ROW()-12,"")</f>
        <v/>
      </c>
      <c r="BD13" s="54"/>
      <c r="BE13" s="103" t="s">
        <v>858</v>
      </c>
      <c r="BF13" s="55"/>
      <c r="BG13" s="54"/>
      <c r="BH13" s="54"/>
      <c r="BI13" s="54"/>
      <c r="BJ13" s="54"/>
      <c r="BK13" s="54"/>
      <c r="BL13" s="54"/>
      <c r="BM13" s="54"/>
      <c r="BN13" s="54"/>
      <c r="BO13" s="54"/>
      <c r="BP13" s="54"/>
      <c r="BQ13" s="54"/>
    </row>
    <row r="14" spans="1:70" ht="15" customHeight="1" thickBot="1" x14ac:dyDescent="0.3">
      <c r="B14" s="128" t="s">
        <v>19</v>
      </c>
      <c r="C14" s="129"/>
      <c r="D14" s="130"/>
      <c r="F14" s="131" t="s">
        <v>20</v>
      </c>
      <c r="G14" s="132"/>
      <c r="H14" s="133"/>
      <c r="J14" s="134" t="s">
        <v>21</v>
      </c>
      <c r="K14" s="135"/>
      <c r="L14" s="136"/>
      <c r="N14" s="137" t="s">
        <v>22</v>
      </c>
      <c r="O14" s="138"/>
      <c r="P14" s="139"/>
      <c r="R14" s="149" t="s">
        <v>46</v>
      </c>
      <c r="S14" s="150"/>
      <c r="T14" s="151"/>
      <c r="V14" s="140" t="s">
        <v>47</v>
      </c>
      <c r="W14" s="141"/>
      <c r="X14" s="142"/>
      <c r="Z14" s="185" t="s">
        <v>48</v>
      </c>
      <c r="AA14" s="186"/>
      <c r="AB14" s="187"/>
      <c r="AD14" s="143" t="s">
        <v>49</v>
      </c>
      <c r="AE14" s="144"/>
      <c r="AF14" s="145"/>
      <c r="AK14" s="54">
        <v>1</v>
      </c>
      <c r="AL14">
        <f>IF(ISBLANK(AK14),AL13,AK14)</f>
        <v>1</v>
      </c>
      <c r="AM14" s="53"/>
      <c r="AN14" s="53"/>
      <c r="AO14" s="92">
        <v>1</v>
      </c>
      <c r="AP14" s="92">
        <v>9</v>
      </c>
      <c r="AQ14" s="92">
        <v>17</v>
      </c>
      <c r="AR14" s="92">
        <v>25</v>
      </c>
      <c r="AS14" s="92">
        <v>33</v>
      </c>
      <c r="AT14" s="92">
        <v>41</v>
      </c>
      <c r="AU14" s="92">
        <v>49</v>
      </c>
      <c r="AV14" s="92">
        <v>57</v>
      </c>
      <c r="AW14" s="53"/>
      <c r="AX14" s="53"/>
      <c r="AY14" s="53"/>
      <c r="AZ14" s="53"/>
      <c r="BA14" s="53"/>
      <c r="BB14" s="54">
        <f t="shared" ref="BB14:BB42" si="0">IF(COUNTA(AM14:BA14)&gt;0,ROW()-12,"")</f>
        <v>2</v>
      </c>
      <c r="BC14" s="54" t="str">
        <f>IF(COUNTA(AN$13:AN$54)&gt;0,ROW()-12,"")</f>
        <v/>
      </c>
      <c r="BD14" s="54"/>
      <c r="BE14" s="94">
        <f>T33</f>
        <v>26</v>
      </c>
      <c r="BF14" s="95">
        <f>T38</f>
        <v>36</v>
      </c>
      <c r="BG14" s="95">
        <f>D34</f>
        <v>26</v>
      </c>
      <c r="BH14" s="94">
        <f>D18</f>
        <v>33</v>
      </c>
      <c r="BI14" s="95">
        <f>T40</f>
        <v>36</v>
      </c>
      <c r="BJ14" s="94">
        <f>D36</f>
        <v>31</v>
      </c>
      <c r="BK14" s="94">
        <f>T37</f>
        <v>33</v>
      </c>
      <c r="BL14" s="94">
        <f>D41</f>
        <v>34</v>
      </c>
      <c r="BM14" s="58"/>
      <c r="BN14" s="58"/>
      <c r="BO14" s="58"/>
      <c r="BP14" s="54"/>
      <c r="BQ14" s="54"/>
    </row>
    <row r="15" spans="1:70" ht="15" customHeight="1" x14ac:dyDescent="0.25">
      <c r="B15" s="22" t="s">
        <v>17</v>
      </c>
      <c r="C15" s="22" t="s">
        <v>0</v>
      </c>
      <c r="D15" s="22" t="s">
        <v>18</v>
      </c>
      <c r="E15" s="23"/>
      <c r="F15" s="22" t="s">
        <v>17</v>
      </c>
      <c r="G15" s="22" t="s">
        <v>0</v>
      </c>
      <c r="H15" s="22" t="s">
        <v>18</v>
      </c>
      <c r="I15" s="23"/>
      <c r="J15" s="22" t="s">
        <v>17</v>
      </c>
      <c r="K15" s="22" t="s">
        <v>0</v>
      </c>
      <c r="L15" s="22" t="s">
        <v>18</v>
      </c>
      <c r="M15" s="23"/>
      <c r="N15" s="22" t="s">
        <v>17</v>
      </c>
      <c r="O15" s="22" t="s">
        <v>0</v>
      </c>
      <c r="P15" s="22" t="s">
        <v>18</v>
      </c>
      <c r="Q15" s="23"/>
      <c r="R15" s="22" t="s">
        <v>17</v>
      </c>
      <c r="S15" s="22" t="s">
        <v>0</v>
      </c>
      <c r="T15" s="22" t="s">
        <v>18</v>
      </c>
      <c r="U15" s="23"/>
      <c r="V15" s="22" t="s">
        <v>17</v>
      </c>
      <c r="W15" s="22" t="s">
        <v>0</v>
      </c>
      <c r="X15" s="22" t="s">
        <v>18</v>
      </c>
      <c r="Y15" s="23"/>
      <c r="Z15" s="22" t="s">
        <v>17</v>
      </c>
      <c r="AA15" s="22" t="s">
        <v>0</v>
      </c>
      <c r="AB15" s="22" t="s">
        <v>18</v>
      </c>
      <c r="AC15" s="23"/>
      <c r="AD15" s="22" t="s">
        <v>17</v>
      </c>
      <c r="AE15" s="22" t="s">
        <v>0</v>
      </c>
      <c r="AF15" s="22" t="s">
        <v>18</v>
      </c>
      <c r="AJ15" s="38"/>
      <c r="AK15" s="54"/>
      <c r="AL15">
        <f t="shared" ref="AL15:AL54" si="1">IF(ISBLANK(AK15),AL14,AK15)</f>
        <v>1</v>
      </c>
      <c r="AM15" s="53"/>
      <c r="AN15" s="53"/>
      <c r="AO15" s="92">
        <v>2</v>
      </c>
      <c r="AP15" s="92">
        <v>10</v>
      </c>
      <c r="AQ15" s="92">
        <v>18</v>
      </c>
      <c r="AR15" s="92">
        <v>26</v>
      </c>
      <c r="AS15" s="92">
        <v>34</v>
      </c>
      <c r="AT15" s="92">
        <v>42</v>
      </c>
      <c r="AU15" s="92">
        <v>50</v>
      </c>
      <c r="AV15" s="92">
        <v>58</v>
      </c>
      <c r="AW15" s="101"/>
      <c r="AX15" s="101"/>
      <c r="AY15" s="101"/>
      <c r="AZ15" s="101"/>
      <c r="BA15" s="53"/>
      <c r="BB15" s="54">
        <f t="shared" ref="BB15:BB26" si="2">IF(COUNTA(AM15:BA15)&gt;0,ROW()-12,"")</f>
        <v>3</v>
      </c>
      <c r="BC15" s="54">
        <f>IF(COUNTA(AO$13:AO$54)&gt;0,ROW()-12,"")</f>
        <v>3</v>
      </c>
      <c r="BD15" s="54"/>
      <c r="BE15" s="94">
        <f>T28</f>
        <v>26</v>
      </c>
      <c r="BF15" s="95">
        <f>T34</f>
        <v>39</v>
      </c>
      <c r="BG15" s="95">
        <f>D38</f>
        <v>33</v>
      </c>
      <c r="BH15" s="94">
        <f>D24</f>
        <v>34</v>
      </c>
      <c r="BI15" s="95">
        <f>T36</f>
        <v>37</v>
      </c>
      <c r="BJ15" s="94">
        <f>D40</f>
        <v>26</v>
      </c>
      <c r="BK15" s="94">
        <f>T32</f>
        <v>29</v>
      </c>
      <c r="BL15" s="94">
        <f>D44</f>
        <v>27</v>
      </c>
      <c r="BR15" s="102"/>
    </row>
    <row r="16" spans="1:70" ht="15" customHeight="1" x14ac:dyDescent="0.25">
      <c r="B16" s="29" t="s">
        <v>268</v>
      </c>
      <c r="C16" s="63">
        <v>5</v>
      </c>
      <c r="D16" s="29">
        <f>'Impedance Values from Automated'!D2</f>
        <v>31</v>
      </c>
      <c r="E16" s="21"/>
      <c r="F16" s="29" t="s">
        <v>260</v>
      </c>
      <c r="G16" s="64">
        <v>124</v>
      </c>
      <c r="H16" s="29">
        <f>'Impedance Values from Automated'!D34</f>
        <v>22</v>
      </c>
      <c r="I16" s="30"/>
      <c r="J16" s="29" t="s">
        <v>259</v>
      </c>
      <c r="K16" s="64">
        <v>142</v>
      </c>
      <c r="L16" s="29">
        <f>'Impedance Values from Automated'!D66</f>
        <v>31</v>
      </c>
      <c r="M16" s="30"/>
      <c r="N16" s="29" t="s">
        <v>255</v>
      </c>
      <c r="O16" s="64">
        <v>213</v>
      </c>
      <c r="P16" s="29">
        <f>'Impedance Values from Automated'!D98</f>
        <v>27</v>
      </c>
      <c r="Q16" s="30"/>
      <c r="R16" s="29" t="s">
        <v>251</v>
      </c>
      <c r="S16" s="63">
        <v>4</v>
      </c>
      <c r="T16" s="29">
        <f>'Impedance Values from Automated'!D130</f>
        <v>36</v>
      </c>
      <c r="U16" s="30"/>
      <c r="V16" s="29" t="s">
        <v>243</v>
      </c>
      <c r="W16" s="64">
        <v>123</v>
      </c>
      <c r="X16" s="29">
        <f>'Impedance Values from Automated'!D162</f>
        <v>28</v>
      </c>
      <c r="Y16" s="30"/>
      <c r="Z16" s="29" t="s">
        <v>242</v>
      </c>
      <c r="AA16" s="64">
        <v>141</v>
      </c>
      <c r="AB16" s="29">
        <f>'Impedance Values from Automated'!D194</f>
        <v>32</v>
      </c>
      <c r="AC16" s="30"/>
      <c r="AD16" s="29" t="s">
        <v>238</v>
      </c>
      <c r="AE16" s="64">
        <v>212</v>
      </c>
      <c r="AF16" s="29">
        <f>'Impedance Values from Automated'!D226</f>
        <v>22</v>
      </c>
      <c r="AG16" s="21"/>
      <c r="AK16" s="54"/>
      <c r="AL16">
        <f t="shared" si="1"/>
        <v>1</v>
      </c>
      <c r="AM16" s="53"/>
      <c r="AN16" s="53"/>
      <c r="AO16" s="92">
        <v>3</v>
      </c>
      <c r="AP16" s="92">
        <v>11</v>
      </c>
      <c r="AQ16" s="92">
        <v>19</v>
      </c>
      <c r="AR16" s="92">
        <v>27</v>
      </c>
      <c r="AS16" s="92">
        <v>35</v>
      </c>
      <c r="AT16" s="92">
        <v>43</v>
      </c>
      <c r="AU16" s="92">
        <v>51</v>
      </c>
      <c r="AV16" s="92">
        <v>59</v>
      </c>
      <c r="AW16" s="101"/>
      <c r="AX16" s="101"/>
      <c r="AY16" s="101"/>
      <c r="AZ16" s="101"/>
      <c r="BA16" s="101"/>
      <c r="BB16" s="54">
        <f t="shared" si="2"/>
        <v>4</v>
      </c>
      <c r="BC16" s="54">
        <f>IF(COUNTA(AP$13:AP$54)&gt;0,ROW()-12,"")</f>
        <v>4</v>
      </c>
      <c r="BD16" s="54"/>
      <c r="BE16" s="94">
        <f>T22</f>
        <v>26</v>
      </c>
      <c r="BF16" s="94">
        <f>T29</f>
        <v>36</v>
      </c>
      <c r="BG16" s="95">
        <f>T42</f>
        <v>29</v>
      </c>
      <c r="BH16" s="95">
        <f>D30</f>
        <v>34</v>
      </c>
      <c r="BI16" s="94">
        <f>T31</f>
        <v>34</v>
      </c>
      <c r="BJ16" s="94">
        <f>D43</f>
        <v>33</v>
      </c>
      <c r="BK16" s="95">
        <f>T26</f>
        <v>25</v>
      </c>
      <c r="BL16" s="94">
        <f>D46</f>
        <v>30</v>
      </c>
    </row>
    <row r="17" spans="2:70" ht="15" customHeight="1" x14ac:dyDescent="0.25">
      <c r="B17" s="29" t="s">
        <v>267</v>
      </c>
      <c r="C17" s="63">
        <v>14</v>
      </c>
      <c r="D17" s="29">
        <f>'Impedance Values from Automated'!D3</f>
        <v>26</v>
      </c>
      <c r="E17" s="21"/>
      <c r="F17" s="29" t="s">
        <v>261</v>
      </c>
      <c r="G17" s="64">
        <v>106</v>
      </c>
      <c r="H17" s="29">
        <f>'Impedance Values from Automated'!D35</f>
        <v>32</v>
      </c>
      <c r="I17" s="30"/>
      <c r="J17" s="29" t="s">
        <v>258</v>
      </c>
      <c r="K17" s="64">
        <v>160</v>
      </c>
      <c r="L17" s="29">
        <f>'Impedance Values from Automated'!D67</f>
        <v>25</v>
      </c>
      <c r="M17" s="30"/>
      <c r="N17" s="29" t="s">
        <v>254</v>
      </c>
      <c r="O17" s="64">
        <v>228</v>
      </c>
      <c r="P17" s="29">
        <f>'Impedance Values from Automated'!D99</f>
        <v>30</v>
      </c>
      <c r="Q17" s="30"/>
      <c r="R17" s="29" t="s">
        <v>250</v>
      </c>
      <c r="S17" s="63">
        <v>13</v>
      </c>
      <c r="T17" s="29">
        <f>'Impedance Values from Automated'!D131</f>
        <v>36</v>
      </c>
      <c r="U17" s="30"/>
      <c r="V17" s="29" t="s">
        <v>244</v>
      </c>
      <c r="W17" s="64">
        <v>105</v>
      </c>
      <c r="X17" s="29">
        <f>'Impedance Values from Automated'!D163</f>
        <v>24</v>
      </c>
      <c r="Y17" s="30"/>
      <c r="Z17" s="29" t="s">
        <v>241</v>
      </c>
      <c r="AA17" s="64">
        <v>159</v>
      </c>
      <c r="AB17" s="29">
        <f>'Impedance Values from Automated'!D195</f>
        <v>23</v>
      </c>
      <c r="AC17" s="30"/>
      <c r="AD17" s="29" t="s">
        <v>237</v>
      </c>
      <c r="AE17" s="64">
        <v>227</v>
      </c>
      <c r="AF17" s="29">
        <f>'Impedance Values from Automated'!D227</f>
        <v>32</v>
      </c>
      <c r="AG17" s="21"/>
      <c r="AK17" s="54"/>
      <c r="AL17">
        <f t="shared" si="1"/>
        <v>1</v>
      </c>
      <c r="AM17" s="53"/>
      <c r="AN17" s="53"/>
      <c r="AO17" s="92">
        <v>4</v>
      </c>
      <c r="AP17" s="92">
        <v>12</v>
      </c>
      <c r="AQ17" s="92">
        <v>20</v>
      </c>
      <c r="AR17" s="92">
        <v>28</v>
      </c>
      <c r="AS17" s="92">
        <v>36</v>
      </c>
      <c r="AT17" s="92">
        <v>44</v>
      </c>
      <c r="AU17" s="92">
        <v>52</v>
      </c>
      <c r="AV17" s="92">
        <v>60</v>
      </c>
      <c r="AW17" s="101"/>
      <c r="AX17" s="101"/>
      <c r="AY17" s="101"/>
      <c r="AZ17" s="101"/>
      <c r="BA17" s="101"/>
      <c r="BB17" s="54">
        <f t="shared" si="2"/>
        <v>5</v>
      </c>
      <c r="BC17" s="54">
        <f>IF(COUNTA(AQ$13:AQ$54)&gt;0,ROW()-12,"")</f>
        <v>5</v>
      </c>
      <c r="BD17" s="54"/>
      <c r="BE17" s="95">
        <f>T16</f>
        <v>36</v>
      </c>
      <c r="BF17" s="94">
        <f>T23</f>
        <v>36</v>
      </c>
      <c r="BG17" s="95">
        <f>T39</f>
        <v>29</v>
      </c>
      <c r="BH17" s="95">
        <f>D35</f>
        <v>22</v>
      </c>
      <c r="BI17" s="94">
        <f>T25</f>
        <v>28</v>
      </c>
      <c r="BJ17" s="94">
        <f>D45</f>
        <v>25</v>
      </c>
      <c r="BK17" s="94">
        <f>T20</f>
        <v>27</v>
      </c>
      <c r="BL17" s="94">
        <f>D47</f>
        <v>36</v>
      </c>
    </row>
    <row r="18" spans="2:70" ht="15" customHeight="1" x14ac:dyDescent="0.25">
      <c r="B18" s="29" t="s">
        <v>266</v>
      </c>
      <c r="C18" s="63">
        <v>25</v>
      </c>
      <c r="D18" s="29">
        <f>'Impedance Values from Automated'!D4</f>
        <v>33</v>
      </c>
      <c r="E18" s="21"/>
      <c r="F18" s="29" t="s">
        <v>262</v>
      </c>
      <c r="G18" s="64">
        <v>88</v>
      </c>
      <c r="H18" s="29">
        <f>'Impedance Values from Automated'!D36</f>
        <v>33</v>
      </c>
      <c r="I18" s="30"/>
      <c r="J18" s="29" t="s">
        <v>257</v>
      </c>
      <c r="K18" s="64">
        <v>178</v>
      </c>
      <c r="L18" s="29">
        <f>'Impedance Values from Automated'!D68</f>
        <v>32</v>
      </c>
      <c r="M18" s="30"/>
      <c r="N18" s="29" t="s">
        <v>253</v>
      </c>
      <c r="O18" s="64">
        <v>241</v>
      </c>
      <c r="P18" s="29">
        <f>'Impedance Values from Automated'!D100</f>
        <v>22</v>
      </c>
      <c r="Q18" s="30"/>
      <c r="R18" s="29" t="s">
        <v>249</v>
      </c>
      <c r="S18" s="63">
        <v>24</v>
      </c>
      <c r="T18" s="37">
        <f>'Impedance Values from Automated'!D132</f>
        <v>26</v>
      </c>
      <c r="U18" s="30"/>
      <c r="V18" s="29" t="s">
        <v>245</v>
      </c>
      <c r="W18" s="64">
        <v>87</v>
      </c>
      <c r="X18" s="29">
        <f>'Impedance Values from Automated'!D164</f>
        <v>30</v>
      </c>
      <c r="Y18" s="30"/>
      <c r="Z18" s="29" t="s">
        <v>240</v>
      </c>
      <c r="AA18" s="64">
        <v>177</v>
      </c>
      <c r="AB18" s="29">
        <f>'Impedance Values from Automated'!D196</f>
        <v>31</v>
      </c>
      <c r="AC18" s="30"/>
      <c r="AD18" s="29" t="s">
        <v>236</v>
      </c>
      <c r="AE18" s="64">
        <v>240</v>
      </c>
      <c r="AF18" s="29">
        <f>'Impedance Values from Automated'!D228</f>
        <v>23</v>
      </c>
      <c r="AG18" s="21"/>
      <c r="AK18" s="54"/>
      <c r="AL18">
        <f t="shared" si="1"/>
        <v>1</v>
      </c>
      <c r="AM18" s="53"/>
      <c r="AN18" s="53"/>
      <c r="AO18" s="92">
        <v>5</v>
      </c>
      <c r="AP18" s="92">
        <v>13</v>
      </c>
      <c r="AQ18" s="92">
        <v>21</v>
      </c>
      <c r="AR18" s="92">
        <v>29</v>
      </c>
      <c r="AS18" s="92">
        <v>37</v>
      </c>
      <c r="AT18" s="92">
        <v>45</v>
      </c>
      <c r="AU18" s="92">
        <v>53</v>
      </c>
      <c r="AV18" s="92">
        <v>61</v>
      </c>
      <c r="AW18" s="101"/>
      <c r="AX18" s="101"/>
      <c r="AY18" s="101"/>
      <c r="AZ18" s="101"/>
      <c r="BA18" s="101"/>
      <c r="BB18" s="54">
        <f t="shared" si="2"/>
        <v>6</v>
      </c>
      <c r="BC18" s="54">
        <f>IF(COUNTA(AR$13:AR$54)&gt;0,ROW()-12,"")</f>
        <v>6</v>
      </c>
      <c r="BD18" s="54"/>
      <c r="BE18" s="95">
        <f>D16</f>
        <v>31</v>
      </c>
      <c r="BF18" s="94">
        <f>T17</f>
        <v>36</v>
      </c>
      <c r="BG18" s="95">
        <f>T35</f>
        <v>25</v>
      </c>
      <c r="BH18" s="95">
        <f>D39</f>
        <v>27</v>
      </c>
      <c r="BI18" s="94">
        <f>T19</f>
        <v>33</v>
      </c>
      <c r="BJ18" s="94">
        <f>T47</f>
        <v>33</v>
      </c>
      <c r="BK18" s="94">
        <f>D20</f>
        <v>35</v>
      </c>
      <c r="BL18" s="94">
        <f>X47</f>
        <v>20</v>
      </c>
    </row>
    <row r="19" spans="2:70" ht="15" customHeight="1" x14ac:dyDescent="0.25">
      <c r="B19" s="29" t="s">
        <v>265</v>
      </c>
      <c r="C19" s="63">
        <v>38</v>
      </c>
      <c r="D19" s="29">
        <f>'Impedance Values from Automated'!D5</f>
        <v>33</v>
      </c>
      <c r="E19" s="21"/>
      <c r="F19" s="29" t="s">
        <v>277</v>
      </c>
      <c r="G19" s="64">
        <v>125</v>
      </c>
      <c r="H19" s="29">
        <f>'Impedance Values from Automated'!D37</f>
        <v>30</v>
      </c>
      <c r="I19" s="30"/>
      <c r="J19" s="29" t="s">
        <v>256</v>
      </c>
      <c r="K19" s="64">
        <v>196</v>
      </c>
      <c r="L19" s="29">
        <f>'Impedance Values from Automated'!D69</f>
        <v>31</v>
      </c>
      <c r="M19" s="30"/>
      <c r="N19" s="29" t="s">
        <v>252</v>
      </c>
      <c r="O19" s="64">
        <v>252</v>
      </c>
      <c r="P19" s="29">
        <f>'Impedance Values from Automated'!D101</f>
        <v>24</v>
      </c>
      <c r="Q19" s="30"/>
      <c r="R19" s="29" t="s">
        <v>248</v>
      </c>
      <c r="S19" s="63">
        <v>37</v>
      </c>
      <c r="T19" s="29">
        <f>'Impedance Values from Automated'!D133</f>
        <v>33</v>
      </c>
      <c r="U19" s="30"/>
      <c r="V19" s="29" t="s">
        <v>229</v>
      </c>
      <c r="W19" s="64">
        <v>122</v>
      </c>
      <c r="X19" s="29">
        <f>'Impedance Values from Automated'!D165</f>
        <v>32</v>
      </c>
      <c r="Y19" s="30"/>
      <c r="Z19" s="29" t="s">
        <v>239</v>
      </c>
      <c r="AA19" s="64">
        <v>195</v>
      </c>
      <c r="AB19" s="29">
        <f>'Impedance Values from Automated'!D197</f>
        <v>27</v>
      </c>
      <c r="AC19" s="30"/>
      <c r="AD19" s="29" t="s">
        <v>235</v>
      </c>
      <c r="AE19" s="64">
        <v>251</v>
      </c>
      <c r="AF19" s="29">
        <f>'Impedance Values from Automated'!D229</f>
        <v>19</v>
      </c>
      <c r="AG19" s="21"/>
      <c r="AK19" s="54"/>
      <c r="AL19">
        <f t="shared" si="1"/>
        <v>1</v>
      </c>
      <c r="AM19" s="53"/>
      <c r="AN19" s="53"/>
      <c r="AO19" s="92">
        <v>6</v>
      </c>
      <c r="AP19" s="92">
        <v>14</v>
      </c>
      <c r="AQ19" s="92">
        <v>22</v>
      </c>
      <c r="AR19" s="92">
        <v>30</v>
      </c>
      <c r="AS19" s="92">
        <v>38</v>
      </c>
      <c r="AT19" s="92">
        <v>46</v>
      </c>
      <c r="AU19" s="92">
        <v>54</v>
      </c>
      <c r="AV19" s="92">
        <v>62</v>
      </c>
      <c r="AW19" s="101"/>
      <c r="AX19" s="101"/>
      <c r="AY19" s="101"/>
      <c r="AZ19" s="101"/>
      <c r="BA19" s="101"/>
      <c r="BB19" s="54">
        <f t="shared" si="2"/>
        <v>7</v>
      </c>
      <c r="BC19" s="54">
        <f>IF(COUNTA(AS$13:AS$52)&gt;0,ROW()-12,"")</f>
        <v>7</v>
      </c>
      <c r="BD19" s="54"/>
      <c r="BE19" s="95">
        <f>D22</f>
        <v>23</v>
      </c>
      <c r="BF19" s="94">
        <f>D17</f>
        <v>26</v>
      </c>
      <c r="BG19" s="95">
        <f>T30</f>
        <v>26</v>
      </c>
      <c r="BH19" s="95">
        <f>D42</f>
        <v>26</v>
      </c>
      <c r="BI19" s="94">
        <f>D19</f>
        <v>33</v>
      </c>
      <c r="BJ19" s="94">
        <f>T46</f>
        <v>34</v>
      </c>
      <c r="BK19" s="94">
        <f>D26</f>
        <v>23</v>
      </c>
      <c r="BL19" s="94">
        <f>X44</f>
        <v>29</v>
      </c>
    </row>
    <row r="20" spans="2:70" ht="15" customHeight="1" x14ac:dyDescent="0.25">
      <c r="B20" s="29" t="s">
        <v>264</v>
      </c>
      <c r="C20" s="63">
        <v>53</v>
      </c>
      <c r="D20" s="29">
        <f>'Impedance Values from Automated'!D6</f>
        <v>35</v>
      </c>
      <c r="E20" s="21"/>
      <c r="F20" s="29" t="s">
        <v>278</v>
      </c>
      <c r="G20" s="64">
        <v>107</v>
      </c>
      <c r="H20" s="29">
        <f>'Impedance Values from Automated'!D38</f>
        <v>28</v>
      </c>
      <c r="I20" s="30"/>
      <c r="J20" s="29" t="s">
        <v>276</v>
      </c>
      <c r="K20" s="64">
        <v>143</v>
      </c>
      <c r="L20" s="29">
        <f>'Impedance Values from Automated'!D70</f>
        <v>31</v>
      </c>
      <c r="M20" s="30"/>
      <c r="N20" s="29" t="s">
        <v>272</v>
      </c>
      <c r="O20" s="64">
        <v>214</v>
      </c>
      <c r="P20" s="29">
        <f>'Impedance Values from Automated'!D102</f>
        <v>22</v>
      </c>
      <c r="Q20" s="30"/>
      <c r="R20" s="29" t="s">
        <v>247</v>
      </c>
      <c r="S20" s="63">
        <v>52</v>
      </c>
      <c r="T20" s="29">
        <f>'Impedance Values from Automated'!D134</f>
        <v>27</v>
      </c>
      <c r="U20" s="30"/>
      <c r="V20" s="29" t="s">
        <v>230</v>
      </c>
      <c r="W20" s="64">
        <v>104</v>
      </c>
      <c r="X20" s="29">
        <f>'Impedance Values from Automated'!D166</f>
        <v>29</v>
      </c>
      <c r="Y20" s="30"/>
      <c r="Z20" s="29" t="s">
        <v>228</v>
      </c>
      <c r="AA20" s="64">
        <v>140</v>
      </c>
      <c r="AB20" s="29">
        <f>'Impedance Values from Automated'!D198</f>
        <v>32</v>
      </c>
      <c r="AC20" s="30"/>
      <c r="AD20" s="29" t="s">
        <v>224</v>
      </c>
      <c r="AE20" s="64">
        <v>211</v>
      </c>
      <c r="AF20" s="29">
        <f>'Impedance Values from Automated'!D230</f>
        <v>28</v>
      </c>
      <c r="AG20" s="21"/>
      <c r="AK20" s="54"/>
      <c r="AL20">
        <f t="shared" si="1"/>
        <v>1</v>
      </c>
      <c r="AM20" s="53"/>
      <c r="AN20" s="53"/>
      <c r="AO20" s="92">
        <v>7</v>
      </c>
      <c r="AP20" s="92">
        <v>15</v>
      </c>
      <c r="AQ20" s="92">
        <v>23</v>
      </c>
      <c r="AR20" s="92">
        <v>31</v>
      </c>
      <c r="AS20" s="92">
        <v>39</v>
      </c>
      <c r="AT20" s="92">
        <v>47</v>
      </c>
      <c r="AU20" s="92">
        <v>55</v>
      </c>
      <c r="AV20" s="92">
        <v>63</v>
      </c>
      <c r="AW20" s="101"/>
      <c r="AX20" s="101"/>
      <c r="AY20" s="101"/>
      <c r="AZ20" s="101"/>
      <c r="BA20" s="101"/>
      <c r="BB20" s="54">
        <f t="shared" si="2"/>
        <v>8</v>
      </c>
      <c r="BC20" s="54">
        <f>IF(COUNTA(AT$13:AT$45)&gt;0,ROW()-12,"")</f>
        <v>8</v>
      </c>
      <c r="BD20" s="54"/>
      <c r="BE20" s="95">
        <f>D28</f>
        <v>34</v>
      </c>
      <c r="BF20" s="95">
        <f>D23</f>
        <v>27</v>
      </c>
      <c r="BG20" s="94">
        <f>T24</f>
        <v>35</v>
      </c>
      <c r="BH20" s="95">
        <f>T45</f>
        <v>36</v>
      </c>
      <c r="BI20" s="94">
        <f>D25</f>
        <v>34</v>
      </c>
      <c r="BJ20" s="94">
        <f>T44</f>
        <v>29</v>
      </c>
      <c r="BK20" s="94">
        <f>D32</f>
        <v>32</v>
      </c>
      <c r="BL20" s="95" t="str">
        <f>X41</f>
        <v>&lt;= 15</v>
      </c>
    </row>
    <row r="21" spans="2:70" ht="15" customHeight="1" x14ac:dyDescent="0.25">
      <c r="B21" s="29" t="s">
        <v>263</v>
      </c>
      <c r="C21" s="63">
        <v>70</v>
      </c>
      <c r="D21" s="29">
        <f>'Impedance Values from Automated'!D7</f>
        <v>35</v>
      </c>
      <c r="E21" s="21"/>
      <c r="F21" s="29" t="s">
        <v>279</v>
      </c>
      <c r="G21" s="64">
        <v>89</v>
      </c>
      <c r="H21" s="29">
        <f>'Impedance Values from Automated'!D39</f>
        <v>30</v>
      </c>
      <c r="I21" s="30"/>
      <c r="J21" s="29" t="s">
        <v>275</v>
      </c>
      <c r="K21" s="64">
        <v>161</v>
      </c>
      <c r="L21" s="29">
        <f>'Impedance Values from Automated'!D71</f>
        <v>30</v>
      </c>
      <c r="M21" s="30"/>
      <c r="N21" s="29" t="s">
        <v>271</v>
      </c>
      <c r="O21" s="64">
        <v>229</v>
      </c>
      <c r="P21" s="29">
        <f>'Impedance Values from Automated'!D103</f>
        <v>26</v>
      </c>
      <c r="Q21" s="30"/>
      <c r="R21" s="29" t="s">
        <v>246</v>
      </c>
      <c r="S21" s="63">
        <v>69</v>
      </c>
      <c r="T21" s="29">
        <f>'Impedance Values from Automated'!D135</f>
        <v>36</v>
      </c>
      <c r="U21" s="30"/>
      <c r="V21" s="29" t="s">
        <v>231</v>
      </c>
      <c r="W21" s="64">
        <v>86</v>
      </c>
      <c r="X21" s="29">
        <f>'Impedance Values from Automated'!D167</f>
        <v>25</v>
      </c>
      <c r="Y21" s="30"/>
      <c r="Z21" s="29" t="s">
        <v>227</v>
      </c>
      <c r="AA21" s="64">
        <v>158</v>
      </c>
      <c r="AB21" s="29">
        <f>'Impedance Values from Automated'!D199</f>
        <v>29</v>
      </c>
      <c r="AC21" s="30"/>
      <c r="AD21" s="29" t="s">
        <v>223</v>
      </c>
      <c r="AE21" s="64">
        <v>226</v>
      </c>
      <c r="AF21" s="29">
        <f>'Impedance Values from Automated'!D231</f>
        <v>23</v>
      </c>
      <c r="AG21" s="21"/>
      <c r="AJ21" s="38"/>
      <c r="AK21" s="54"/>
      <c r="AL21">
        <f t="shared" si="1"/>
        <v>1</v>
      </c>
      <c r="AM21" s="53"/>
      <c r="AN21" s="53"/>
      <c r="AO21" s="92">
        <v>8</v>
      </c>
      <c r="AP21" s="92">
        <v>16</v>
      </c>
      <c r="AQ21" s="92">
        <v>24</v>
      </c>
      <c r="AR21" s="92">
        <v>32</v>
      </c>
      <c r="AS21" s="92">
        <v>40</v>
      </c>
      <c r="AT21" s="92">
        <v>48</v>
      </c>
      <c r="AU21" s="92">
        <v>56</v>
      </c>
      <c r="AV21" s="92">
        <v>64</v>
      </c>
      <c r="AW21" s="101"/>
      <c r="AX21" s="101"/>
      <c r="AY21" s="101"/>
      <c r="AZ21" s="101"/>
      <c r="BA21" s="101"/>
      <c r="BB21" s="54">
        <f t="shared" si="2"/>
        <v>9</v>
      </c>
      <c r="BC21" s="54">
        <f>IF(COUNTA(AU$13:AU$54)&gt;0,ROW()-12,"")</f>
        <v>9</v>
      </c>
      <c r="BD21" s="58"/>
      <c r="BE21" s="95">
        <f>D33</f>
        <v>25</v>
      </c>
      <c r="BF21" s="95">
        <f>D29</f>
        <v>32</v>
      </c>
      <c r="BG21" s="94">
        <f>T18</f>
        <v>26</v>
      </c>
      <c r="BH21" s="95">
        <f>T43</f>
        <v>32</v>
      </c>
      <c r="BI21" s="94">
        <f>D31</f>
        <v>35</v>
      </c>
      <c r="BJ21" s="94">
        <f>T41</f>
        <v>30</v>
      </c>
      <c r="BK21" s="95">
        <f>D37</f>
        <v>24</v>
      </c>
      <c r="BL21" s="94">
        <f>X37</f>
        <v>19</v>
      </c>
    </row>
    <row r="22" spans="2:70" ht="15" customHeight="1" x14ac:dyDescent="0.25">
      <c r="B22" s="29" t="s">
        <v>282</v>
      </c>
      <c r="C22" s="63">
        <v>6</v>
      </c>
      <c r="D22" s="29">
        <f>'Impedance Values from Automated'!D8</f>
        <v>23</v>
      </c>
      <c r="E22" s="21"/>
      <c r="F22" s="29" t="s">
        <v>285</v>
      </c>
      <c r="G22" s="64">
        <v>126</v>
      </c>
      <c r="H22" s="29">
        <f>'Impedance Values from Automated'!D40</f>
        <v>25</v>
      </c>
      <c r="I22" s="30"/>
      <c r="J22" s="29" t="s">
        <v>274</v>
      </c>
      <c r="K22" s="64">
        <v>179</v>
      </c>
      <c r="L22" s="29">
        <f>'Impedance Values from Automated'!D72</f>
        <v>23</v>
      </c>
      <c r="M22" s="30"/>
      <c r="N22" s="29" t="s">
        <v>270</v>
      </c>
      <c r="O22" s="64">
        <v>242</v>
      </c>
      <c r="P22" s="29">
        <f>'Impedance Values from Automated'!D104</f>
        <v>31</v>
      </c>
      <c r="Q22" s="30"/>
      <c r="R22" s="29" t="s">
        <v>234</v>
      </c>
      <c r="S22" s="63">
        <v>3</v>
      </c>
      <c r="T22" s="37">
        <f>'Impedance Values from Automated'!D136</f>
        <v>26</v>
      </c>
      <c r="U22" s="30"/>
      <c r="V22" s="29" t="s">
        <v>218</v>
      </c>
      <c r="W22" s="64">
        <v>121</v>
      </c>
      <c r="X22" s="29">
        <f>'Impedance Values from Automated'!D168</f>
        <v>31</v>
      </c>
      <c r="Y22" s="30"/>
      <c r="Z22" s="29" t="s">
        <v>226</v>
      </c>
      <c r="AA22" s="64">
        <v>176</v>
      </c>
      <c r="AB22" s="29">
        <f>'Impedance Values from Automated'!D200</f>
        <v>21</v>
      </c>
      <c r="AC22" s="30"/>
      <c r="AD22" s="29" t="s">
        <v>222</v>
      </c>
      <c r="AE22" s="64">
        <v>239</v>
      </c>
      <c r="AF22" s="29">
        <f>'Impedance Values from Automated'!D232</f>
        <v>32</v>
      </c>
      <c r="AG22" s="21"/>
      <c r="AK22" s="54"/>
      <c r="AL22">
        <f t="shared" si="1"/>
        <v>1</v>
      </c>
      <c r="AM22" s="53"/>
      <c r="AN22" s="53"/>
      <c r="AO22" s="101"/>
      <c r="AP22" s="101"/>
      <c r="AQ22" s="101"/>
      <c r="AR22" s="101"/>
      <c r="AS22" s="101"/>
      <c r="AT22" s="101"/>
      <c r="AU22" s="101"/>
      <c r="AV22" s="101"/>
      <c r="AW22" s="101"/>
      <c r="AX22" s="101"/>
      <c r="AY22" s="101"/>
      <c r="AZ22" s="101"/>
      <c r="BA22" s="101"/>
      <c r="BB22" s="54" t="str">
        <f t="shared" si="2"/>
        <v/>
      </c>
      <c r="BC22" s="54">
        <f>IF(COUNTA(AV$13:AV$54)&gt;0,ROW()-12,"")</f>
        <v>10</v>
      </c>
      <c r="BD22" s="54"/>
    </row>
    <row r="23" spans="2:70" ht="15" customHeight="1" x14ac:dyDescent="0.25">
      <c r="B23" s="29" t="s">
        <v>281</v>
      </c>
      <c r="C23" s="63">
        <v>15</v>
      </c>
      <c r="D23" s="29">
        <f>'Impedance Values from Automated'!D9</f>
        <v>27</v>
      </c>
      <c r="E23" s="21"/>
      <c r="F23" s="29" t="s">
        <v>286</v>
      </c>
      <c r="G23" s="64">
        <v>108</v>
      </c>
      <c r="H23" s="29">
        <f>'Impedance Values from Automated'!D41</f>
        <v>21</v>
      </c>
      <c r="I23" s="30"/>
      <c r="J23" s="29" t="s">
        <v>273</v>
      </c>
      <c r="K23" s="64">
        <v>197</v>
      </c>
      <c r="L23" s="29">
        <f>'Impedance Values from Automated'!D73</f>
        <v>32</v>
      </c>
      <c r="M23" s="30"/>
      <c r="N23" s="29" t="s">
        <v>269</v>
      </c>
      <c r="O23" s="64">
        <v>253</v>
      </c>
      <c r="P23" s="29">
        <f>'Impedance Values from Automated'!D105</f>
        <v>30</v>
      </c>
      <c r="Q23" s="30"/>
      <c r="R23" s="29" t="s">
        <v>233</v>
      </c>
      <c r="S23" s="63">
        <v>12</v>
      </c>
      <c r="T23" s="37">
        <f>'Impedance Values from Automated'!D137</f>
        <v>36</v>
      </c>
      <c r="U23" s="30"/>
      <c r="V23" s="29" t="s">
        <v>219</v>
      </c>
      <c r="W23" s="64">
        <v>103</v>
      </c>
      <c r="X23" s="29">
        <f>'Impedance Values from Automated'!D169</f>
        <v>29</v>
      </c>
      <c r="Y23" s="30"/>
      <c r="Z23" s="29" t="s">
        <v>225</v>
      </c>
      <c r="AA23" s="64">
        <v>194</v>
      </c>
      <c r="AB23" s="29">
        <f>'Impedance Values from Automated'!D201</f>
        <v>25</v>
      </c>
      <c r="AC23" s="30"/>
      <c r="AD23" s="29" t="s">
        <v>221</v>
      </c>
      <c r="AE23" s="64">
        <v>250</v>
      </c>
      <c r="AF23" s="29">
        <f>'Impedance Values from Automated'!D233</f>
        <v>30</v>
      </c>
      <c r="AG23" s="21"/>
      <c r="AK23" s="54"/>
      <c r="AL23">
        <f t="shared" si="1"/>
        <v>1</v>
      </c>
      <c r="AM23" s="53"/>
      <c r="AN23" s="53"/>
      <c r="AO23" s="101"/>
      <c r="AP23" s="101"/>
      <c r="AQ23" s="101"/>
      <c r="AR23" s="101"/>
      <c r="AS23" s="101"/>
      <c r="AT23" s="101"/>
      <c r="AU23" s="101"/>
      <c r="AV23" s="101"/>
      <c r="AW23" s="101"/>
      <c r="AX23" s="101"/>
      <c r="AY23" s="101"/>
      <c r="AZ23" s="101"/>
      <c r="BA23" s="101"/>
      <c r="BB23" s="54" t="str">
        <f t="shared" si="2"/>
        <v/>
      </c>
      <c r="BC23" s="54" t="str">
        <f>IF(COUNTA(AW$13:AW$54)&gt;0,ROW()-12,"")</f>
        <v/>
      </c>
      <c r="BD23" s="54"/>
      <c r="BE23" s="103" t="s">
        <v>859</v>
      </c>
    </row>
    <row r="24" spans="2:70" ht="15" customHeight="1" x14ac:dyDescent="0.25">
      <c r="B24" s="29" t="s">
        <v>280</v>
      </c>
      <c r="C24" s="63">
        <v>26</v>
      </c>
      <c r="D24" s="29">
        <f>'Impedance Values from Automated'!D10</f>
        <v>34</v>
      </c>
      <c r="E24" s="21"/>
      <c r="F24" s="29" t="s">
        <v>287</v>
      </c>
      <c r="G24" s="64">
        <v>90</v>
      </c>
      <c r="H24" s="29">
        <f>'Impedance Values from Automated'!D42</f>
        <v>28</v>
      </c>
      <c r="I24" s="30"/>
      <c r="J24" s="29" t="s">
        <v>284</v>
      </c>
      <c r="K24" s="64">
        <v>144</v>
      </c>
      <c r="L24" s="29">
        <f>'Impedance Values from Automated'!D74</f>
        <v>32</v>
      </c>
      <c r="M24" s="30"/>
      <c r="N24" s="29" t="s">
        <v>283</v>
      </c>
      <c r="O24" s="64">
        <v>215</v>
      </c>
      <c r="P24" s="29">
        <f>'Impedance Values from Automated'!D106</f>
        <v>22</v>
      </c>
      <c r="Q24" s="30"/>
      <c r="R24" s="29" t="s">
        <v>232</v>
      </c>
      <c r="S24" s="63">
        <v>23</v>
      </c>
      <c r="T24" s="29">
        <f>'Impedance Values from Automated'!D138</f>
        <v>35</v>
      </c>
      <c r="U24" s="30"/>
      <c r="V24" s="29" t="s">
        <v>220</v>
      </c>
      <c r="W24" s="64">
        <v>85</v>
      </c>
      <c r="X24" s="29">
        <f>'Impedance Values from Automated'!D170</f>
        <v>28</v>
      </c>
      <c r="Y24" s="30"/>
      <c r="Z24" s="29" t="s">
        <v>217</v>
      </c>
      <c r="AA24" s="64">
        <v>139</v>
      </c>
      <c r="AB24" s="29">
        <f>'Impedance Values from Automated'!D202</f>
        <v>25</v>
      </c>
      <c r="AC24" s="30"/>
      <c r="AD24" s="29" t="s">
        <v>216</v>
      </c>
      <c r="AE24" s="64">
        <v>210</v>
      </c>
      <c r="AF24" s="29">
        <f>'Impedance Values from Automated'!D234</f>
        <v>31</v>
      </c>
      <c r="AG24" s="21"/>
      <c r="AK24" s="54">
        <v>2</v>
      </c>
      <c r="AL24">
        <f t="shared" si="1"/>
        <v>2</v>
      </c>
      <c r="AM24" s="53"/>
      <c r="AN24" s="53"/>
      <c r="AO24" s="92">
        <v>65</v>
      </c>
      <c r="AP24" s="92">
        <v>73</v>
      </c>
      <c r="AQ24" s="92">
        <v>81</v>
      </c>
      <c r="AR24" s="92">
        <v>89</v>
      </c>
      <c r="AS24" s="92">
        <v>97</v>
      </c>
      <c r="AT24" s="92">
        <v>105</v>
      </c>
      <c r="AU24" s="92">
        <v>113</v>
      </c>
      <c r="AV24" s="93">
        <v>121</v>
      </c>
      <c r="AW24" s="101"/>
      <c r="AX24" s="101"/>
      <c r="AY24" s="101"/>
      <c r="AZ24" s="101"/>
      <c r="BA24" s="101"/>
      <c r="BB24" s="54">
        <f t="shared" si="2"/>
        <v>12</v>
      </c>
      <c r="BC24" s="54" t="str">
        <f>IF(COUNTA(AX$13:AX$54)&gt;0,ROW()-12,"")</f>
        <v/>
      </c>
      <c r="BD24" s="54"/>
      <c r="BE24" s="94">
        <f>X33</f>
        <v>34</v>
      </c>
      <c r="BF24" s="94">
        <f>H29</f>
        <v>43</v>
      </c>
      <c r="BG24" s="94">
        <f>X40</f>
        <v>30</v>
      </c>
      <c r="BH24" s="94">
        <f>H21</f>
        <v>30</v>
      </c>
      <c r="BI24" s="95">
        <f>X45</f>
        <v>31</v>
      </c>
      <c r="BJ24" s="94">
        <f>X17</f>
        <v>24</v>
      </c>
      <c r="BK24" s="94">
        <f>H42</f>
        <v>26</v>
      </c>
      <c r="BL24" s="95">
        <f>X22</f>
        <v>31</v>
      </c>
    </row>
    <row r="25" spans="2:70" ht="15" customHeight="1" x14ac:dyDescent="0.25">
      <c r="B25" s="29" t="s">
        <v>23</v>
      </c>
      <c r="C25" s="63">
        <v>39</v>
      </c>
      <c r="D25" s="29">
        <f>'Impedance Values from Automated'!D11</f>
        <v>34</v>
      </c>
      <c r="E25" s="21"/>
      <c r="F25" s="29" t="s">
        <v>51</v>
      </c>
      <c r="G25" s="64">
        <v>72</v>
      </c>
      <c r="H25" s="29">
        <f>'Impedance Values from Automated'!D43</f>
        <v>38</v>
      </c>
      <c r="I25" s="30"/>
      <c r="J25" s="29" t="s">
        <v>52</v>
      </c>
      <c r="K25" s="64">
        <v>162</v>
      </c>
      <c r="L25" s="29">
        <f>'Impedance Values from Automated'!D75</f>
        <v>31</v>
      </c>
      <c r="M25" s="30"/>
      <c r="N25" s="29" t="s">
        <v>53</v>
      </c>
      <c r="O25" s="64">
        <v>230</v>
      </c>
      <c r="P25" s="29">
        <f>'Impedance Values from Automated'!D107</f>
        <v>34</v>
      </c>
      <c r="Q25" s="30"/>
      <c r="R25" s="29" t="s">
        <v>54</v>
      </c>
      <c r="S25" s="63">
        <v>36</v>
      </c>
      <c r="T25" s="29">
        <f>'Impedance Values from Automated'!D139</f>
        <v>28</v>
      </c>
      <c r="U25" s="30"/>
      <c r="V25" s="29" t="s">
        <v>55</v>
      </c>
      <c r="W25" s="64">
        <v>67</v>
      </c>
      <c r="X25" s="29">
        <f>'Impedance Values from Automated'!D171</f>
        <v>32</v>
      </c>
      <c r="Y25" s="30"/>
      <c r="Z25" s="29" t="s">
        <v>56</v>
      </c>
      <c r="AA25" s="64">
        <v>157</v>
      </c>
      <c r="AB25" s="29">
        <f>'Impedance Values from Automated'!D203</f>
        <v>31</v>
      </c>
      <c r="AC25" s="30"/>
      <c r="AD25" s="29" t="s">
        <v>57</v>
      </c>
      <c r="AE25" s="64">
        <v>225</v>
      </c>
      <c r="AF25" s="29">
        <f>'Impedance Values from Automated'!D235</f>
        <v>24</v>
      </c>
      <c r="AG25" s="21"/>
      <c r="AK25" s="54"/>
      <c r="AL25">
        <f t="shared" si="1"/>
        <v>2</v>
      </c>
      <c r="AM25" s="53"/>
      <c r="AN25" s="53"/>
      <c r="AO25" s="92">
        <v>66</v>
      </c>
      <c r="AP25" s="92">
        <v>74</v>
      </c>
      <c r="AQ25" s="92">
        <v>82</v>
      </c>
      <c r="AR25" s="92">
        <v>90</v>
      </c>
      <c r="AS25" s="92">
        <v>98</v>
      </c>
      <c r="AT25" s="92">
        <v>106</v>
      </c>
      <c r="AU25" s="92">
        <v>114</v>
      </c>
      <c r="AV25" s="93">
        <v>122</v>
      </c>
      <c r="AW25" s="101"/>
      <c r="AX25" s="101"/>
      <c r="AY25" s="101"/>
      <c r="AZ25" s="101"/>
      <c r="BA25" s="101"/>
      <c r="BB25" s="54">
        <f t="shared" si="2"/>
        <v>13</v>
      </c>
      <c r="BC25" s="54" t="str">
        <f>IF(COUNTA(AY$13:AY$54)&gt;0,ROW()-12,"")</f>
        <v/>
      </c>
      <c r="BD25" s="54"/>
      <c r="BE25" s="94">
        <f>X29</f>
        <v>29</v>
      </c>
      <c r="BF25" s="94">
        <f>H33</f>
        <v>36</v>
      </c>
      <c r="BG25" s="94">
        <f>X36</f>
        <v>29</v>
      </c>
      <c r="BH25" s="94">
        <f>H24</f>
        <v>28</v>
      </c>
      <c r="BI25" s="95">
        <f>X42</f>
        <v>27</v>
      </c>
      <c r="BJ25" s="94">
        <f>H17</f>
        <v>32</v>
      </c>
      <c r="BK25" s="94">
        <f>H45</f>
        <v>33</v>
      </c>
      <c r="BL25" s="95">
        <f>X19</f>
        <v>32</v>
      </c>
    </row>
    <row r="26" spans="2:70" ht="15" customHeight="1" x14ac:dyDescent="0.25">
      <c r="B26" s="29" t="s">
        <v>24</v>
      </c>
      <c r="C26" s="63">
        <v>54</v>
      </c>
      <c r="D26" s="29">
        <f>'Impedance Values from Automated'!D12</f>
        <v>23</v>
      </c>
      <c r="E26" s="21"/>
      <c r="F26" s="29" t="s">
        <v>58</v>
      </c>
      <c r="G26" s="64">
        <v>127</v>
      </c>
      <c r="H26" s="29">
        <f>'Impedance Values from Automated'!D44</f>
        <v>40</v>
      </c>
      <c r="I26" s="30"/>
      <c r="J26" s="29" t="s">
        <v>59</v>
      </c>
      <c r="K26" s="64">
        <v>180</v>
      </c>
      <c r="L26" s="29">
        <f>'Impedance Values from Automated'!D76</f>
        <v>34</v>
      </c>
      <c r="M26" s="30"/>
      <c r="N26" s="29" t="s">
        <v>60</v>
      </c>
      <c r="O26" s="64">
        <v>243</v>
      </c>
      <c r="P26" s="29">
        <f>'Impedance Values from Automated'!D108</f>
        <v>30</v>
      </c>
      <c r="Q26" s="30"/>
      <c r="R26" s="29" t="s">
        <v>61</v>
      </c>
      <c r="S26" s="63">
        <v>51</v>
      </c>
      <c r="T26" s="29">
        <f>'Impedance Values from Automated'!D140</f>
        <v>25</v>
      </c>
      <c r="U26" s="30"/>
      <c r="V26" s="29" t="s">
        <v>62</v>
      </c>
      <c r="W26" s="64">
        <v>120</v>
      </c>
      <c r="X26" s="29">
        <f>'Impedance Values from Automated'!D172</f>
        <v>32</v>
      </c>
      <c r="Y26" s="30"/>
      <c r="Z26" s="29" t="s">
        <v>63</v>
      </c>
      <c r="AA26" s="64">
        <v>175</v>
      </c>
      <c r="AB26" s="29">
        <f>'Impedance Values from Automated'!D204</f>
        <v>22</v>
      </c>
      <c r="AC26" s="30"/>
      <c r="AD26" s="29" t="s">
        <v>64</v>
      </c>
      <c r="AE26" s="64">
        <v>238</v>
      </c>
      <c r="AF26" s="29">
        <f>'Impedance Values from Automated'!D236</f>
        <v>30</v>
      </c>
      <c r="AG26" s="21"/>
      <c r="AJ26" s="38"/>
      <c r="AK26" s="54"/>
      <c r="AL26">
        <f t="shared" si="1"/>
        <v>2</v>
      </c>
      <c r="AM26" s="53"/>
      <c r="AN26" s="53"/>
      <c r="AO26" s="92">
        <v>67</v>
      </c>
      <c r="AP26" s="92">
        <v>75</v>
      </c>
      <c r="AQ26" s="92">
        <v>83</v>
      </c>
      <c r="AR26" s="92">
        <v>91</v>
      </c>
      <c r="AS26" s="92">
        <v>99</v>
      </c>
      <c r="AT26" s="92">
        <v>107</v>
      </c>
      <c r="AU26" s="92">
        <v>115</v>
      </c>
      <c r="AV26" s="93">
        <v>123</v>
      </c>
      <c r="AW26" s="101"/>
      <c r="AX26" s="101"/>
      <c r="AY26" s="101"/>
      <c r="AZ26" s="101"/>
      <c r="BA26" s="53"/>
      <c r="BB26" s="54">
        <f t="shared" si="2"/>
        <v>14</v>
      </c>
      <c r="BC26" s="54" t="str">
        <f>IF(COUNTA(AZ$13:AZ$54)&gt;0,ROW()-12,"")</f>
        <v/>
      </c>
      <c r="BD26" s="54"/>
      <c r="BE26" s="94">
        <f>X25</f>
        <v>32</v>
      </c>
      <c r="BF26" s="95">
        <f>H37</f>
        <v>30</v>
      </c>
      <c r="BG26" s="94">
        <f>X32</f>
        <v>21</v>
      </c>
      <c r="BH26" s="94">
        <f>H28</f>
        <v>38</v>
      </c>
      <c r="BI26" s="95">
        <f>X39</f>
        <v>31</v>
      </c>
      <c r="BJ26" s="95">
        <f>H20</f>
        <v>28</v>
      </c>
      <c r="BK26" s="94">
        <f>AB44</f>
        <v>31</v>
      </c>
      <c r="BL26" s="94">
        <f>X16</f>
        <v>28</v>
      </c>
      <c r="BR26" s="96"/>
    </row>
    <row r="27" spans="2:70" ht="15" customHeight="1" x14ac:dyDescent="0.25">
      <c r="B27" s="29" t="s">
        <v>25</v>
      </c>
      <c r="C27" s="63">
        <v>71</v>
      </c>
      <c r="D27" s="29">
        <f>'Impedance Values from Automated'!D13</f>
        <v>36</v>
      </c>
      <c r="E27" s="21"/>
      <c r="F27" s="29" t="s">
        <v>65</v>
      </c>
      <c r="G27" s="64">
        <v>109</v>
      </c>
      <c r="H27" s="29">
        <f>'Impedance Values from Automated'!D45</f>
        <v>37</v>
      </c>
      <c r="I27" s="30"/>
      <c r="J27" s="29" t="s">
        <v>66</v>
      </c>
      <c r="K27" s="64">
        <v>198</v>
      </c>
      <c r="L27" s="29">
        <f>'Impedance Values from Automated'!D77</f>
        <v>32</v>
      </c>
      <c r="M27" s="30"/>
      <c r="N27" s="29" t="s">
        <v>67</v>
      </c>
      <c r="O27" s="64">
        <v>254</v>
      </c>
      <c r="P27" s="29">
        <f>'Impedance Values from Automated'!D109</f>
        <v>22</v>
      </c>
      <c r="Q27" s="30"/>
      <c r="R27" s="29" t="s">
        <v>68</v>
      </c>
      <c r="S27" s="63">
        <v>68</v>
      </c>
      <c r="T27" s="29">
        <f>'Impedance Values from Automated'!D141</f>
        <v>34</v>
      </c>
      <c r="U27" s="30"/>
      <c r="V27" s="29" t="s">
        <v>69</v>
      </c>
      <c r="W27" s="64">
        <v>102</v>
      </c>
      <c r="X27" s="29">
        <f>'Impedance Values from Automated'!D173</f>
        <v>25</v>
      </c>
      <c r="Y27" s="30"/>
      <c r="Z27" s="29" t="s">
        <v>70</v>
      </c>
      <c r="AA27" s="64">
        <v>193</v>
      </c>
      <c r="AB27" s="29">
        <f>'Impedance Values from Automated'!D205</f>
        <v>33</v>
      </c>
      <c r="AC27" s="30"/>
      <c r="AD27" s="29" t="s">
        <v>71</v>
      </c>
      <c r="AE27" s="64">
        <v>249</v>
      </c>
      <c r="AF27" s="29">
        <f>'Impedance Values from Automated'!D237</f>
        <v>20</v>
      </c>
      <c r="AG27" s="21"/>
      <c r="AK27" s="54"/>
      <c r="AL27">
        <f t="shared" si="1"/>
        <v>2</v>
      </c>
      <c r="AM27" s="53"/>
      <c r="AN27" s="53"/>
      <c r="AO27" s="92">
        <v>68</v>
      </c>
      <c r="AP27" s="92">
        <v>76</v>
      </c>
      <c r="AQ27" s="92">
        <v>84</v>
      </c>
      <c r="AR27" s="92">
        <v>92</v>
      </c>
      <c r="AS27" s="92">
        <v>100</v>
      </c>
      <c r="AT27" s="92">
        <v>108</v>
      </c>
      <c r="AU27" s="92">
        <v>116</v>
      </c>
      <c r="AV27" s="93">
        <v>124</v>
      </c>
      <c r="AW27" s="56"/>
      <c r="AX27" s="60"/>
      <c r="AY27" s="53"/>
      <c r="AZ27" s="53"/>
      <c r="BA27" s="53"/>
      <c r="BB27" s="54">
        <f t="shared" si="0"/>
        <v>15</v>
      </c>
      <c r="BC27" s="54" t="str">
        <f>IF(COUNTA(BA$13:BA$54)&gt;0,ROW()-12,"")</f>
        <v/>
      </c>
      <c r="BD27" s="54"/>
      <c r="BE27" s="95">
        <f>T27</f>
        <v>34</v>
      </c>
      <c r="BF27" s="94">
        <f>H41</f>
        <v>22</v>
      </c>
      <c r="BG27" s="94">
        <f>X28</f>
        <v>29</v>
      </c>
      <c r="BH27" s="95">
        <f>H32</f>
        <v>22</v>
      </c>
      <c r="BI27" s="94">
        <f>X35</f>
        <v>20</v>
      </c>
      <c r="BJ27" s="95">
        <f>H23</f>
        <v>21</v>
      </c>
      <c r="BK27" s="95">
        <f>AB40</f>
        <v>20</v>
      </c>
      <c r="BL27" s="94">
        <f>H16</f>
        <v>22</v>
      </c>
      <c r="BM27" s="58"/>
      <c r="BN27" s="58"/>
      <c r="BO27" s="58"/>
      <c r="BP27" s="54"/>
      <c r="BQ27" s="59"/>
    </row>
    <row r="28" spans="2:70" ht="15" customHeight="1" x14ac:dyDescent="0.25">
      <c r="B28" s="29" t="s">
        <v>26</v>
      </c>
      <c r="C28" s="63">
        <v>7</v>
      </c>
      <c r="D28" s="37">
        <f>'Impedance Values from Automated'!D14</f>
        <v>34</v>
      </c>
      <c r="E28" s="21"/>
      <c r="F28" s="29" t="s">
        <v>72</v>
      </c>
      <c r="G28" s="64">
        <v>91</v>
      </c>
      <c r="H28" s="29">
        <f>'Impedance Values from Automated'!D46</f>
        <v>38</v>
      </c>
      <c r="I28" s="30"/>
      <c r="J28" s="29" t="s">
        <v>73</v>
      </c>
      <c r="K28" s="64">
        <v>145</v>
      </c>
      <c r="L28" s="29">
        <f>'Impedance Values from Automated'!D78</f>
        <v>32</v>
      </c>
      <c r="M28" s="30"/>
      <c r="N28" s="29" t="s">
        <v>74</v>
      </c>
      <c r="O28" s="64">
        <v>199</v>
      </c>
      <c r="P28" s="29">
        <f>'Impedance Values from Automated'!D110</f>
        <v>33</v>
      </c>
      <c r="Q28" s="30"/>
      <c r="R28" s="29" t="s">
        <v>75</v>
      </c>
      <c r="S28" s="63">
        <v>2</v>
      </c>
      <c r="T28" s="29">
        <f>'Impedance Values from Automated'!D142</f>
        <v>26</v>
      </c>
      <c r="U28" s="30"/>
      <c r="V28" s="29" t="s">
        <v>76</v>
      </c>
      <c r="W28" s="64">
        <v>84</v>
      </c>
      <c r="X28" s="29">
        <f>'Impedance Values from Automated'!D174</f>
        <v>29</v>
      </c>
      <c r="Y28" s="30"/>
      <c r="Z28" s="29" t="s">
        <v>77</v>
      </c>
      <c r="AA28" s="64">
        <v>138</v>
      </c>
      <c r="AB28" s="29">
        <f>'Impedance Values from Automated'!D206</f>
        <v>21</v>
      </c>
      <c r="AC28" s="30"/>
      <c r="AD28" s="29" t="s">
        <v>78</v>
      </c>
      <c r="AE28" s="64">
        <v>192</v>
      </c>
      <c r="AF28" s="29">
        <f>'Impedance Values from Automated'!D238</f>
        <v>30</v>
      </c>
      <c r="AG28" s="21"/>
      <c r="AK28" s="54"/>
      <c r="AL28">
        <f t="shared" si="1"/>
        <v>2</v>
      </c>
      <c r="AM28" s="53"/>
      <c r="AN28" s="53"/>
      <c r="AO28" s="92">
        <v>69</v>
      </c>
      <c r="AP28" s="92">
        <v>77</v>
      </c>
      <c r="AQ28" s="92">
        <v>85</v>
      </c>
      <c r="AR28" s="92">
        <v>93</v>
      </c>
      <c r="AS28" s="92">
        <v>101</v>
      </c>
      <c r="AT28" s="92">
        <v>109</v>
      </c>
      <c r="AU28" s="92">
        <v>117</v>
      </c>
      <c r="AV28" s="93">
        <v>125</v>
      </c>
      <c r="AW28" s="56"/>
      <c r="AX28" s="60"/>
      <c r="AY28" s="53"/>
      <c r="AZ28" s="53"/>
      <c r="BA28" s="53"/>
      <c r="BB28" s="54">
        <f t="shared" si="0"/>
        <v>16</v>
      </c>
      <c r="BC28" s="54"/>
      <c r="BD28" s="54"/>
      <c r="BE28" s="94">
        <f>T21</f>
        <v>36</v>
      </c>
      <c r="BF28" s="94">
        <f>H44</f>
        <v>30</v>
      </c>
      <c r="BG28" s="94">
        <f>X24</f>
        <v>28</v>
      </c>
      <c r="BH28" s="94">
        <f>H36</f>
        <v>26</v>
      </c>
      <c r="BI28" s="94">
        <f>X31</f>
        <v>21</v>
      </c>
      <c r="BJ28" s="95">
        <f>H27</f>
        <v>37</v>
      </c>
      <c r="BK28" s="94">
        <f>X38</f>
        <v>32</v>
      </c>
      <c r="BL28" s="94">
        <f>H19</f>
        <v>30</v>
      </c>
      <c r="BM28" s="96"/>
      <c r="BN28" s="96"/>
      <c r="BO28" s="96"/>
      <c r="BP28" s="57"/>
      <c r="BQ28" s="59"/>
    </row>
    <row r="29" spans="2:70" ht="15" customHeight="1" x14ac:dyDescent="0.25">
      <c r="B29" s="29" t="s">
        <v>27</v>
      </c>
      <c r="C29" s="63">
        <v>16</v>
      </c>
      <c r="D29" s="29">
        <f>'Impedance Values from Automated'!D15</f>
        <v>32</v>
      </c>
      <c r="E29" s="21"/>
      <c r="F29" s="29" t="s">
        <v>79</v>
      </c>
      <c r="G29" s="64">
        <v>73</v>
      </c>
      <c r="H29" s="29">
        <f>'Impedance Values from Automated'!D47</f>
        <v>43</v>
      </c>
      <c r="I29" s="30"/>
      <c r="J29" s="29" t="s">
        <v>80</v>
      </c>
      <c r="K29" s="64">
        <v>163</v>
      </c>
      <c r="L29" s="29">
        <f>'Impedance Values from Automated'!D79</f>
        <v>35</v>
      </c>
      <c r="M29" s="30"/>
      <c r="N29" s="29" t="s">
        <v>81</v>
      </c>
      <c r="O29" s="64">
        <v>216</v>
      </c>
      <c r="P29" s="29">
        <f>'Impedance Values from Automated'!D111</f>
        <v>33</v>
      </c>
      <c r="Q29" s="30"/>
      <c r="R29" s="29" t="s">
        <v>82</v>
      </c>
      <c r="S29" s="63">
        <v>11</v>
      </c>
      <c r="T29" s="29">
        <f>'Impedance Values from Automated'!D143</f>
        <v>36</v>
      </c>
      <c r="U29" s="30"/>
      <c r="V29" s="29" t="s">
        <v>83</v>
      </c>
      <c r="W29" s="64">
        <v>66</v>
      </c>
      <c r="X29" s="29">
        <f>'Impedance Values from Automated'!D175</f>
        <v>29</v>
      </c>
      <c r="Y29" s="30"/>
      <c r="Z29" s="29" t="s">
        <v>84</v>
      </c>
      <c r="AA29" s="64">
        <v>156</v>
      </c>
      <c r="AB29" s="29">
        <f>'Impedance Values from Automated'!D207</f>
        <v>31</v>
      </c>
      <c r="AC29" s="30"/>
      <c r="AD29" s="29" t="s">
        <v>85</v>
      </c>
      <c r="AE29" s="64">
        <v>209</v>
      </c>
      <c r="AF29" s="29">
        <f>'Impedance Values from Automated'!D239</f>
        <v>24</v>
      </c>
      <c r="AG29" s="21"/>
      <c r="AK29" s="54"/>
      <c r="AL29">
        <f t="shared" si="1"/>
        <v>2</v>
      </c>
      <c r="AM29" s="53"/>
      <c r="AN29" s="53"/>
      <c r="AO29" s="92">
        <v>70</v>
      </c>
      <c r="AP29" s="92">
        <v>78</v>
      </c>
      <c r="AQ29" s="92">
        <v>86</v>
      </c>
      <c r="AR29" s="92">
        <v>94</v>
      </c>
      <c r="AS29" s="92">
        <v>102</v>
      </c>
      <c r="AT29" s="92">
        <v>110</v>
      </c>
      <c r="AU29" s="92">
        <v>118</v>
      </c>
      <c r="AV29" s="93">
        <v>126</v>
      </c>
      <c r="AW29" s="56"/>
      <c r="AX29" s="60"/>
      <c r="AY29" s="53"/>
      <c r="AZ29" s="53"/>
      <c r="BA29" s="53"/>
      <c r="BB29" s="54">
        <f t="shared" si="0"/>
        <v>17</v>
      </c>
      <c r="BC29" s="54"/>
      <c r="BD29" s="54"/>
      <c r="BE29" s="94">
        <f>D21</f>
        <v>35</v>
      </c>
      <c r="BF29" s="94">
        <f>H47</f>
        <v>32</v>
      </c>
      <c r="BG29" s="94">
        <f>X21</f>
        <v>25</v>
      </c>
      <c r="BH29" s="94">
        <f>H40</f>
        <v>36</v>
      </c>
      <c r="BI29" s="94">
        <f>X27</f>
        <v>25</v>
      </c>
      <c r="BJ29" s="95">
        <f>H31</f>
        <v>32</v>
      </c>
      <c r="BK29" s="94">
        <f>X34</f>
        <v>21</v>
      </c>
      <c r="BL29" s="94">
        <f>H22</f>
        <v>25</v>
      </c>
      <c r="BM29" s="96"/>
      <c r="BN29" s="96"/>
      <c r="BO29" s="96"/>
      <c r="BP29" s="57"/>
      <c r="BQ29" s="54"/>
    </row>
    <row r="30" spans="2:70" ht="15" customHeight="1" x14ac:dyDescent="0.3">
      <c r="B30" s="29" t="s">
        <v>28</v>
      </c>
      <c r="C30" s="63">
        <v>27</v>
      </c>
      <c r="D30" s="29">
        <f>'Impedance Values from Automated'!D16</f>
        <v>34</v>
      </c>
      <c r="E30" s="21"/>
      <c r="F30" s="29" t="s">
        <v>86</v>
      </c>
      <c r="G30" s="64">
        <v>128</v>
      </c>
      <c r="H30" s="29">
        <f>'Impedance Values from Automated'!D48</f>
        <v>39</v>
      </c>
      <c r="I30" s="30"/>
      <c r="J30" s="29" t="s">
        <v>87</v>
      </c>
      <c r="K30" s="64">
        <v>181</v>
      </c>
      <c r="L30" s="29">
        <f>'Impedance Values from Automated'!D80</f>
        <v>23</v>
      </c>
      <c r="M30" s="30"/>
      <c r="N30" s="29" t="s">
        <v>88</v>
      </c>
      <c r="O30" s="64">
        <v>231</v>
      </c>
      <c r="P30" s="29">
        <f>'Impedance Values from Automated'!D112</f>
        <v>33</v>
      </c>
      <c r="Q30" s="30"/>
      <c r="R30" s="29" t="s">
        <v>89</v>
      </c>
      <c r="S30" s="63">
        <v>22</v>
      </c>
      <c r="T30" s="37">
        <f>'Impedance Values from Automated'!D144</f>
        <v>26</v>
      </c>
      <c r="U30" s="30"/>
      <c r="V30" s="29" t="s">
        <v>90</v>
      </c>
      <c r="W30" s="64">
        <v>119</v>
      </c>
      <c r="X30" s="29">
        <f>'Impedance Values from Automated'!D176</f>
        <v>30</v>
      </c>
      <c r="Y30" s="30"/>
      <c r="Z30" s="29" t="s">
        <v>91</v>
      </c>
      <c r="AA30" s="64">
        <v>174</v>
      </c>
      <c r="AB30" s="29">
        <f>'Impedance Values from Automated'!D208</f>
        <v>35</v>
      </c>
      <c r="AC30" s="30"/>
      <c r="AD30" s="29" t="s">
        <v>92</v>
      </c>
      <c r="AE30" s="64">
        <v>224</v>
      </c>
      <c r="AF30" s="29">
        <f>'Impedance Values from Automated'!D240</f>
        <v>34</v>
      </c>
      <c r="AG30" s="21"/>
      <c r="AK30" s="55"/>
      <c r="AL30">
        <f t="shared" si="1"/>
        <v>2</v>
      </c>
      <c r="AM30" s="53"/>
      <c r="AN30" s="53"/>
      <c r="AO30" s="92">
        <v>71</v>
      </c>
      <c r="AP30" s="92">
        <v>79</v>
      </c>
      <c r="AQ30" s="92">
        <v>87</v>
      </c>
      <c r="AR30" s="92">
        <v>95</v>
      </c>
      <c r="AS30" s="92">
        <v>103</v>
      </c>
      <c r="AT30" s="92">
        <v>111</v>
      </c>
      <c r="AU30" s="93">
        <v>119</v>
      </c>
      <c r="AV30" s="93">
        <v>127</v>
      </c>
      <c r="AW30" s="61"/>
      <c r="AX30" s="53"/>
      <c r="AY30" s="53"/>
      <c r="AZ30" s="53"/>
      <c r="BA30" s="53"/>
      <c r="BB30" s="54">
        <f t="shared" si="0"/>
        <v>18</v>
      </c>
      <c r="BC30" s="54"/>
      <c r="BD30" s="54"/>
      <c r="BE30" s="94">
        <f>D27</f>
        <v>36</v>
      </c>
      <c r="BF30" s="94">
        <f>X46</f>
        <v>20</v>
      </c>
      <c r="BG30" s="95">
        <f>X18</f>
        <v>30</v>
      </c>
      <c r="BH30" s="95">
        <f>H43</f>
        <v>26</v>
      </c>
      <c r="BI30" s="94">
        <f>X23</f>
        <v>29</v>
      </c>
      <c r="BJ30" s="95">
        <f>H35</f>
        <v>32</v>
      </c>
      <c r="BK30" s="95">
        <f>X30</f>
        <v>30</v>
      </c>
      <c r="BL30" s="95">
        <f>H26</f>
        <v>40</v>
      </c>
      <c r="BM30" s="58"/>
      <c r="BN30" s="58"/>
      <c r="BO30" s="58"/>
      <c r="BP30" s="54"/>
      <c r="BQ30" s="54"/>
    </row>
    <row r="31" spans="2:70" ht="15.45" customHeight="1" x14ac:dyDescent="0.25">
      <c r="B31" s="29" t="s">
        <v>29</v>
      </c>
      <c r="C31" s="63">
        <v>40</v>
      </c>
      <c r="D31" s="29">
        <f>'Impedance Values from Automated'!D17</f>
        <v>35</v>
      </c>
      <c r="E31" s="21"/>
      <c r="F31" s="29" t="s">
        <v>93</v>
      </c>
      <c r="G31" s="64">
        <v>110</v>
      </c>
      <c r="H31" s="29">
        <f>'Impedance Values from Automated'!D49</f>
        <v>32</v>
      </c>
      <c r="I31" s="30"/>
      <c r="J31" s="29" t="s">
        <v>94</v>
      </c>
      <c r="K31" s="64">
        <v>146</v>
      </c>
      <c r="L31" s="29">
        <f>'Impedance Values from Automated'!D81</f>
        <v>23</v>
      </c>
      <c r="M31" s="30"/>
      <c r="N31" s="29" t="s">
        <v>95</v>
      </c>
      <c r="O31" s="64">
        <v>244</v>
      </c>
      <c r="P31" s="29">
        <f>'Impedance Values from Automated'!D113</f>
        <v>23</v>
      </c>
      <c r="Q31" s="30"/>
      <c r="R31" s="29" t="s">
        <v>96</v>
      </c>
      <c r="S31" s="63">
        <v>35</v>
      </c>
      <c r="T31" s="29">
        <f>'Impedance Values from Automated'!D145</f>
        <v>34</v>
      </c>
      <c r="U31" s="30"/>
      <c r="V31" s="29" t="s">
        <v>97</v>
      </c>
      <c r="W31" s="64">
        <v>101</v>
      </c>
      <c r="X31" s="29">
        <f>'Impedance Values from Automated'!D177</f>
        <v>21</v>
      </c>
      <c r="Y31" s="30"/>
      <c r="Z31" s="29" t="s">
        <v>98</v>
      </c>
      <c r="AA31" s="64">
        <v>137</v>
      </c>
      <c r="AB31" s="29">
        <f>'Impedance Values from Automated'!D209</f>
        <v>26</v>
      </c>
      <c r="AC31" s="30"/>
      <c r="AD31" s="29" t="s">
        <v>99</v>
      </c>
      <c r="AE31" s="64">
        <v>237</v>
      </c>
      <c r="AF31" s="29">
        <f>'Impedance Values from Automated'!D241</f>
        <v>78</v>
      </c>
      <c r="AG31" s="21"/>
      <c r="AK31" s="54"/>
      <c r="AL31">
        <f t="shared" si="1"/>
        <v>2</v>
      </c>
      <c r="AM31" s="53"/>
      <c r="AN31" s="53"/>
      <c r="AO31" s="92">
        <v>72</v>
      </c>
      <c r="AP31" s="92">
        <v>80</v>
      </c>
      <c r="AQ31" s="92">
        <v>88</v>
      </c>
      <c r="AR31" s="92">
        <v>96</v>
      </c>
      <c r="AS31" s="92">
        <v>104</v>
      </c>
      <c r="AT31" s="92">
        <v>112</v>
      </c>
      <c r="AU31" s="93">
        <v>120</v>
      </c>
      <c r="AV31" s="93">
        <v>128</v>
      </c>
      <c r="AW31" s="53"/>
      <c r="AX31" s="53"/>
      <c r="AY31" s="53"/>
      <c r="AZ31" s="53"/>
      <c r="BA31" s="53"/>
      <c r="BB31" s="54">
        <f t="shared" si="0"/>
        <v>19</v>
      </c>
      <c r="BC31" s="54"/>
      <c r="BD31" s="54"/>
      <c r="BE31" s="94">
        <f>H25</f>
        <v>38</v>
      </c>
      <c r="BF31" s="95">
        <f>X43</f>
        <v>33</v>
      </c>
      <c r="BG31" s="94">
        <f>H18</f>
        <v>33</v>
      </c>
      <c r="BH31" s="95">
        <f>H46</f>
        <v>34</v>
      </c>
      <c r="BI31" s="95">
        <f>X20</f>
        <v>29</v>
      </c>
      <c r="BJ31" s="94">
        <f>H39</f>
        <v>23</v>
      </c>
      <c r="BK31" s="95">
        <f>X26</f>
        <v>32</v>
      </c>
      <c r="BL31" s="94">
        <f>H30</f>
        <v>39</v>
      </c>
      <c r="BM31" s="58"/>
      <c r="BN31" s="58"/>
      <c r="BO31" s="58"/>
      <c r="BP31" s="54"/>
      <c r="BQ31" s="54"/>
    </row>
    <row r="32" spans="2:70" ht="15.45" customHeight="1" x14ac:dyDescent="0.25">
      <c r="B32" s="29" t="s">
        <v>30</v>
      </c>
      <c r="C32" s="63">
        <v>55</v>
      </c>
      <c r="D32" s="29">
        <f>'Impedance Values from Automated'!D18</f>
        <v>32</v>
      </c>
      <c r="E32" s="21"/>
      <c r="F32" s="29" t="s">
        <v>100</v>
      </c>
      <c r="G32" s="64">
        <v>92</v>
      </c>
      <c r="H32" s="29">
        <f>'Impedance Values from Automated'!D50</f>
        <v>22</v>
      </c>
      <c r="I32" s="30"/>
      <c r="J32" s="29" t="s">
        <v>101</v>
      </c>
      <c r="K32" s="64">
        <v>164</v>
      </c>
      <c r="L32" s="29">
        <f>'Impedance Values from Automated'!D82</f>
        <v>26</v>
      </c>
      <c r="M32" s="30"/>
      <c r="N32" s="29" t="s">
        <v>102</v>
      </c>
      <c r="O32" s="64">
        <v>255</v>
      </c>
      <c r="P32" s="29">
        <f>'Impedance Values from Automated'!D114</f>
        <v>29</v>
      </c>
      <c r="Q32" s="30"/>
      <c r="R32" s="29" t="s">
        <v>103</v>
      </c>
      <c r="S32" s="63">
        <v>50</v>
      </c>
      <c r="T32" s="29">
        <f>'Impedance Values from Automated'!D146</f>
        <v>29</v>
      </c>
      <c r="U32" s="30"/>
      <c r="V32" s="29" t="s">
        <v>104</v>
      </c>
      <c r="W32" s="64">
        <v>83</v>
      </c>
      <c r="X32" s="29">
        <f>'Impedance Values from Automated'!D178</f>
        <v>21</v>
      </c>
      <c r="Y32" s="30"/>
      <c r="Z32" s="29" t="s">
        <v>105</v>
      </c>
      <c r="AA32" s="64">
        <v>155</v>
      </c>
      <c r="AB32" s="29">
        <f>'Impedance Values from Automated'!D210</f>
        <v>26</v>
      </c>
      <c r="AC32" s="30"/>
      <c r="AD32" s="29" t="s">
        <v>106</v>
      </c>
      <c r="AE32" s="64">
        <v>248</v>
      </c>
      <c r="AF32" s="29">
        <f>'Impedance Values from Automated'!D242</f>
        <v>21</v>
      </c>
      <c r="AG32" s="21"/>
      <c r="AJ32" s="38"/>
      <c r="AK32" s="54"/>
      <c r="AL32">
        <f t="shared" si="1"/>
        <v>2</v>
      </c>
      <c r="AM32" s="53"/>
      <c r="AN32" s="53"/>
      <c r="AO32" s="101"/>
      <c r="AP32" s="101"/>
      <c r="AQ32" s="101"/>
      <c r="AR32" s="101"/>
      <c r="AS32" s="101"/>
      <c r="AT32" s="101"/>
      <c r="AU32" s="101"/>
      <c r="AV32" s="101"/>
      <c r="AW32" s="101"/>
      <c r="AX32" s="101"/>
      <c r="AY32" s="101"/>
      <c r="AZ32" s="53"/>
      <c r="BA32" s="53"/>
      <c r="BB32" s="54" t="str">
        <f t="shared" si="0"/>
        <v/>
      </c>
      <c r="BC32" s="54"/>
      <c r="BD32" s="54"/>
      <c r="BP32" s="54"/>
      <c r="BQ32" s="54"/>
    </row>
    <row r="33" spans="2:69" ht="15.45" customHeight="1" x14ac:dyDescent="0.25">
      <c r="B33" s="29" t="s">
        <v>31</v>
      </c>
      <c r="C33" s="63">
        <v>8</v>
      </c>
      <c r="D33" s="29">
        <f>'Impedance Values from Automated'!D19</f>
        <v>25</v>
      </c>
      <c r="E33" s="21"/>
      <c r="F33" s="29" t="s">
        <v>107</v>
      </c>
      <c r="G33" s="64">
        <v>74</v>
      </c>
      <c r="H33" s="29">
        <f>'Impedance Values from Automated'!D51</f>
        <v>36</v>
      </c>
      <c r="I33" s="30"/>
      <c r="J33" s="29" t="s">
        <v>108</v>
      </c>
      <c r="K33" s="64">
        <v>182</v>
      </c>
      <c r="L33" s="29">
        <f>'Impedance Values from Automated'!D83</f>
        <v>20</v>
      </c>
      <c r="M33" s="30"/>
      <c r="N33" s="29" t="s">
        <v>109</v>
      </c>
      <c r="O33" s="64">
        <v>200</v>
      </c>
      <c r="P33" s="29">
        <f>'Impedance Values from Automated'!D115</f>
        <v>28</v>
      </c>
      <c r="Q33" s="30"/>
      <c r="R33" s="29" t="s">
        <v>110</v>
      </c>
      <c r="S33" s="63">
        <v>1</v>
      </c>
      <c r="T33" s="29">
        <f>'Impedance Values from Automated'!D147</f>
        <v>26</v>
      </c>
      <c r="U33" s="30"/>
      <c r="V33" s="29" t="s">
        <v>111</v>
      </c>
      <c r="W33" s="64">
        <v>65</v>
      </c>
      <c r="X33" s="29">
        <f>'Impedance Values from Automated'!D179</f>
        <v>34</v>
      </c>
      <c r="Y33" s="30"/>
      <c r="Z33" s="29" t="s">
        <v>112</v>
      </c>
      <c r="AA33" s="64">
        <v>173</v>
      </c>
      <c r="AB33" s="29">
        <f>'Impedance Values from Automated'!D211</f>
        <v>30</v>
      </c>
      <c r="AC33" s="30"/>
      <c r="AD33" s="29" t="s">
        <v>113</v>
      </c>
      <c r="AE33" s="64">
        <v>191</v>
      </c>
      <c r="AF33" s="29">
        <f>'Impedance Values from Automated'!D243</f>
        <v>45</v>
      </c>
      <c r="AG33" s="6"/>
      <c r="AK33" s="54"/>
      <c r="AL33">
        <f t="shared" si="1"/>
        <v>2</v>
      </c>
      <c r="AM33" s="53"/>
      <c r="AN33" s="53"/>
      <c r="AO33" s="101"/>
      <c r="AP33" s="101"/>
      <c r="AQ33" s="101"/>
      <c r="AR33" s="101"/>
      <c r="AS33" s="101"/>
      <c r="AT33" s="101"/>
      <c r="AU33" s="101"/>
      <c r="AV33" s="101"/>
      <c r="AW33" s="101"/>
      <c r="AX33" s="101"/>
      <c r="AY33" s="101"/>
      <c r="AZ33" s="53"/>
      <c r="BA33" s="53"/>
      <c r="BB33" s="54" t="str">
        <f t="shared" si="0"/>
        <v/>
      </c>
      <c r="BC33" s="54"/>
      <c r="BD33" s="54"/>
      <c r="BE33" s="103" t="s">
        <v>860</v>
      </c>
      <c r="BP33" s="54"/>
      <c r="BQ33" s="54"/>
    </row>
    <row r="34" spans="2:69" ht="15.45" customHeight="1" x14ac:dyDescent="0.25">
      <c r="B34" s="29" t="s">
        <v>32</v>
      </c>
      <c r="C34" s="63">
        <v>17</v>
      </c>
      <c r="D34" s="37">
        <f>'Impedance Values from Automated'!D20</f>
        <v>26</v>
      </c>
      <c r="E34" s="21"/>
      <c r="F34" s="29" t="s">
        <v>114</v>
      </c>
      <c r="G34" s="64">
        <v>129</v>
      </c>
      <c r="H34" s="29">
        <f>'Impedance Values from Automated'!D52</f>
        <v>44</v>
      </c>
      <c r="I34" s="30"/>
      <c r="J34" s="29" t="s">
        <v>115</v>
      </c>
      <c r="K34" s="64">
        <v>147</v>
      </c>
      <c r="L34" s="29">
        <f>'Impedance Values from Automated'!D84</f>
        <v>27</v>
      </c>
      <c r="M34" s="30"/>
      <c r="N34" s="29" t="s">
        <v>116</v>
      </c>
      <c r="O34" s="64">
        <v>217</v>
      </c>
      <c r="P34" s="29">
        <f>'Impedance Values from Automated'!D116</f>
        <v>24</v>
      </c>
      <c r="Q34" s="30"/>
      <c r="R34" s="29" t="s">
        <v>117</v>
      </c>
      <c r="S34" s="63">
        <v>10</v>
      </c>
      <c r="T34" s="29">
        <f>'Impedance Values from Automated'!D148</f>
        <v>39</v>
      </c>
      <c r="U34" s="30"/>
      <c r="V34" s="29" t="s">
        <v>118</v>
      </c>
      <c r="W34" s="64">
        <v>118</v>
      </c>
      <c r="X34" s="29">
        <f>'Impedance Values from Automated'!D180</f>
        <v>21</v>
      </c>
      <c r="Y34" s="30"/>
      <c r="Z34" s="29" t="s">
        <v>119</v>
      </c>
      <c r="AA34" s="64">
        <v>136</v>
      </c>
      <c r="AB34" s="29">
        <f>'Impedance Values from Automated'!D212</f>
        <v>20</v>
      </c>
      <c r="AC34" s="30"/>
      <c r="AD34" s="29" t="s">
        <v>120</v>
      </c>
      <c r="AE34" s="64">
        <v>208</v>
      </c>
      <c r="AF34" s="29">
        <f>'Impedance Values from Automated'!D244</f>
        <v>33</v>
      </c>
      <c r="AG34" s="21"/>
      <c r="AJ34" s="10"/>
      <c r="AK34" s="54">
        <v>3</v>
      </c>
      <c r="AL34">
        <f t="shared" si="1"/>
        <v>3</v>
      </c>
      <c r="AM34" s="53"/>
      <c r="AN34" s="53"/>
      <c r="AO34" s="92">
        <v>129</v>
      </c>
      <c r="AP34" s="92">
        <v>137</v>
      </c>
      <c r="AQ34" s="92">
        <v>145</v>
      </c>
      <c r="AR34" s="92">
        <v>153</v>
      </c>
      <c r="AS34" s="92">
        <v>161</v>
      </c>
      <c r="AT34" s="92">
        <v>169</v>
      </c>
      <c r="AU34" s="92">
        <v>177</v>
      </c>
      <c r="AV34" s="92">
        <v>185</v>
      </c>
      <c r="AW34" s="101"/>
      <c r="AX34" s="101"/>
      <c r="AY34" s="101"/>
      <c r="AZ34" s="53"/>
      <c r="BA34" s="53"/>
      <c r="BB34" s="54">
        <f t="shared" si="0"/>
        <v>22</v>
      </c>
      <c r="BC34" s="54"/>
      <c r="BD34" s="54"/>
      <c r="BE34" s="94">
        <f>H34</f>
        <v>44</v>
      </c>
      <c r="BF34" s="95">
        <f>AB31</f>
        <v>26</v>
      </c>
      <c r="BG34" s="95">
        <f>L28</f>
        <v>32</v>
      </c>
      <c r="BH34" s="94">
        <f>AB38</f>
        <v>28</v>
      </c>
      <c r="BI34" s="95">
        <f>L21</f>
        <v>30</v>
      </c>
      <c r="BJ34" s="94">
        <f>AB47</f>
        <v>31</v>
      </c>
      <c r="BK34" s="94">
        <f>AB18</f>
        <v>31</v>
      </c>
      <c r="BL34" s="94">
        <f>L43</f>
        <v>34</v>
      </c>
      <c r="BP34" s="54"/>
      <c r="BQ34" s="54"/>
    </row>
    <row r="35" spans="2:69" ht="15.45" customHeight="1" x14ac:dyDescent="0.25">
      <c r="B35" s="29" t="s">
        <v>33</v>
      </c>
      <c r="C35" s="63">
        <v>28</v>
      </c>
      <c r="D35" s="29">
        <f>'Impedance Values from Automated'!D21</f>
        <v>22</v>
      </c>
      <c r="E35" s="21"/>
      <c r="F35" s="29" t="s">
        <v>121</v>
      </c>
      <c r="G35" s="64">
        <v>111</v>
      </c>
      <c r="H35" s="29">
        <f>'Impedance Values from Automated'!D53</f>
        <v>32</v>
      </c>
      <c r="I35" s="30"/>
      <c r="J35" s="29" t="s">
        <v>122</v>
      </c>
      <c r="K35" s="64">
        <v>165</v>
      </c>
      <c r="L35" s="29">
        <f>'Impedance Values from Automated'!D85</f>
        <v>24</v>
      </c>
      <c r="M35" s="30"/>
      <c r="N35" s="29" t="s">
        <v>123</v>
      </c>
      <c r="O35" s="64">
        <v>232</v>
      </c>
      <c r="P35" s="29">
        <f>'Impedance Values from Automated'!D117</f>
        <v>22</v>
      </c>
      <c r="Q35" s="30"/>
      <c r="R35" s="29" t="s">
        <v>124</v>
      </c>
      <c r="S35" s="63">
        <v>21</v>
      </c>
      <c r="T35" s="29">
        <f>'Impedance Values from Automated'!D149</f>
        <v>25</v>
      </c>
      <c r="U35" s="30"/>
      <c r="V35" s="29" t="s">
        <v>125</v>
      </c>
      <c r="W35" s="64">
        <v>100</v>
      </c>
      <c r="X35" s="29">
        <f>'Impedance Values from Automated'!D181</f>
        <v>20</v>
      </c>
      <c r="Y35" s="30"/>
      <c r="Z35" s="29" t="s">
        <v>126</v>
      </c>
      <c r="AA35" s="64">
        <v>154</v>
      </c>
      <c r="AB35" s="29">
        <f>'Impedance Values from Automated'!D213</f>
        <v>31</v>
      </c>
      <c r="AC35" s="30"/>
      <c r="AD35" s="29" t="s">
        <v>127</v>
      </c>
      <c r="AE35" s="64">
        <v>223</v>
      </c>
      <c r="AF35" s="29">
        <f>'Impedance Values from Automated'!D245</f>
        <v>31</v>
      </c>
      <c r="AG35" s="21"/>
      <c r="AK35" s="54"/>
      <c r="AL35">
        <f t="shared" si="1"/>
        <v>3</v>
      </c>
      <c r="AM35" s="53"/>
      <c r="AN35" s="53"/>
      <c r="AO35" s="92">
        <v>130</v>
      </c>
      <c r="AP35" s="92">
        <v>138</v>
      </c>
      <c r="AQ35" s="92">
        <v>146</v>
      </c>
      <c r="AR35" s="92">
        <v>154</v>
      </c>
      <c r="AS35" s="92">
        <v>162</v>
      </c>
      <c r="AT35" s="92">
        <v>170</v>
      </c>
      <c r="AU35" s="92">
        <v>178</v>
      </c>
      <c r="AV35" s="92">
        <v>186</v>
      </c>
      <c r="AW35" s="101"/>
      <c r="AX35" s="101"/>
      <c r="AY35" s="101"/>
      <c r="AZ35" s="53"/>
      <c r="BA35" s="53"/>
      <c r="BB35" s="54">
        <f t="shared" si="0"/>
        <v>23</v>
      </c>
      <c r="BC35" s="54"/>
      <c r="BD35" s="54"/>
      <c r="BE35" s="94">
        <f>H38</f>
        <v>34</v>
      </c>
      <c r="BF35" s="95">
        <f>AB28</f>
        <v>21</v>
      </c>
      <c r="BG35" s="95">
        <f>L31</f>
        <v>23</v>
      </c>
      <c r="BH35" s="94">
        <f>AB35</f>
        <v>31</v>
      </c>
      <c r="BI35" s="95">
        <f>L25</f>
        <v>31</v>
      </c>
      <c r="BJ35" s="94">
        <f>AB43</f>
        <v>19</v>
      </c>
      <c r="BK35" s="94">
        <f>L18</f>
        <v>32</v>
      </c>
      <c r="BL35" s="94">
        <f>L47</f>
        <v>32</v>
      </c>
      <c r="BP35" s="54"/>
      <c r="BQ35" s="54"/>
    </row>
    <row r="36" spans="2:69" ht="15.45" customHeight="1" x14ac:dyDescent="0.25">
      <c r="B36" s="29" t="s">
        <v>34</v>
      </c>
      <c r="C36" s="63">
        <v>41</v>
      </c>
      <c r="D36" s="29">
        <f>'Impedance Values from Automated'!D22</f>
        <v>31</v>
      </c>
      <c r="E36" s="21"/>
      <c r="F36" s="29" t="s">
        <v>128</v>
      </c>
      <c r="G36" s="64">
        <v>93</v>
      </c>
      <c r="H36" s="29">
        <f>'Impedance Values from Automated'!D54</f>
        <v>26</v>
      </c>
      <c r="I36" s="30"/>
      <c r="J36" s="29" t="s">
        <v>129</v>
      </c>
      <c r="K36" s="64">
        <v>183</v>
      </c>
      <c r="L36" s="29">
        <f>'Impedance Values from Automated'!D86</f>
        <v>32</v>
      </c>
      <c r="M36" s="30"/>
      <c r="N36" s="29" t="s">
        <v>130</v>
      </c>
      <c r="O36" s="64">
        <v>245</v>
      </c>
      <c r="P36" s="29">
        <f>'Impedance Values from Automated'!D118</f>
        <v>23</v>
      </c>
      <c r="Q36" s="30"/>
      <c r="R36" s="29" t="s">
        <v>131</v>
      </c>
      <c r="S36" s="63">
        <v>34</v>
      </c>
      <c r="T36" s="29">
        <f>'Impedance Values from Automated'!D150</f>
        <v>37</v>
      </c>
      <c r="U36" s="30"/>
      <c r="V36" s="29" t="s">
        <v>132</v>
      </c>
      <c r="W36" s="64">
        <v>82</v>
      </c>
      <c r="X36" s="29">
        <f>'Impedance Values from Automated'!D182</f>
        <v>29</v>
      </c>
      <c r="Y36" s="30"/>
      <c r="Z36" s="29" t="s">
        <v>133</v>
      </c>
      <c r="AA36" s="64">
        <v>172</v>
      </c>
      <c r="AB36" s="29">
        <f>'Impedance Values from Automated'!D214</f>
        <v>30</v>
      </c>
      <c r="AC36" s="30"/>
      <c r="AD36" s="29" t="s">
        <v>134</v>
      </c>
      <c r="AE36" s="64">
        <v>236</v>
      </c>
      <c r="AF36" s="29">
        <f>'Impedance Values from Automated'!D246</f>
        <v>37</v>
      </c>
      <c r="AG36" s="21"/>
      <c r="AK36" s="54"/>
      <c r="AL36">
        <f t="shared" si="1"/>
        <v>3</v>
      </c>
      <c r="AM36" s="53"/>
      <c r="AN36" s="53"/>
      <c r="AO36" s="92">
        <v>131</v>
      </c>
      <c r="AP36" s="92">
        <v>139</v>
      </c>
      <c r="AQ36" s="92">
        <v>147</v>
      </c>
      <c r="AR36" s="92">
        <v>155</v>
      </c>
      <c r="AS36" s="92">
        <v>163</v>
      </c>
      <c r="AT36" s="92">
        <v>171</v>
      </c>
      <c r="AU36" s="92">
        <v>179</v>
      </c>
      <c r="AV36" s="92">
        <v>187</v>
      </c>
      <c r="AW36" s="101"/>
      <c r="AX36" s="101"/>
      <c r="AY36" s="101"/>
      <c r="AZ36" s="53"/>
      <c r="BA36" s="53"/>
      <c r="BB36" s="54">
        <f t="shared" si="0"/>
        <v>24</v>
      </c>
      <c r="BC36" s="54"/>
      <c r="BD36" s="54"/>
      <c r="BE36" s="94">
        <f>L40</f>
        <v>26</v>
      </c>
      <c r="BF36" s="94">
        <f>AB24</f>
        <v>25</v>
      </c>
      <c r="BG36" s="95">
        <f>L34</f>
        <v>27</v>
      </c>
      <c r="BH36" s="95">
        <f>AB32</f>
        <v>26</v>
      </c>
      <c r="BI36" s="94">
        <f>L29</f>
        <v>35</v>
      </c>
      <c r="BJ36" s="94">
        <f>AB39</f>
        <v>29</v>
      </c>
      <c r="BK36" s="95">
        <f>L22</f>
        <v>23</v>
      </c>
      <c r="BL36" s="94">
        <f>AF47</f>
        <v>21</v>
      </c>
      <c r="BP36" s="54"/>
      <c r="BQ36" s="58"/>
    </row>
    <row r="37" spans="2:69" ht="15.45" customHeight="1" x14ac:dyDescent="0.25">
      <c r="B37" s="29" t="s">
        <v>35</v>
      </c>
      <c r="C37" s="63">
        <v>56</v>
      </c>
      <c r="D37" s="37">
        <f>'Impedance Values from Automated'!D23</f>
        <v>24</v>
      </c>
      <c r="E37" s="21"/>
      <c r="F37" s="29" t="s">
        <v>135</v>
      </c>
      <c r="G37" s="64">
        <v>75</v>
      </c>
      <c r="H37" s="37">
        <f>'Impedance Values from Automated'!D55</f>
        <v>30</v>
      </c>
      <c r="I37" s="30"/>
      <c r="J37" s="29" t="s">
        <v>136</v>
      </c>
      <c r="K37" s="64">
        <v>148</v>
      </c>
      <c r="L37" s="29">
        <f>'Impedance Values from Automated'!D87</f>
        <v>30</v>
      </c>
      <c r="M37" s="30"/>
      <c r="N37" s="29" t="s">
        <v>137</v>
      </c>
      <c r="O37" s="64">
        <v>256</v>
      </c>
      <c r="P37" s="29">
        <f>'Impedance Values from Automated'!D119</f>
        <v>34</v>
      </c>
      <c r="Q37" s="30"/>
      <c r="R37" s="29" t="s">
        <v>138</v>
      </c>
      <c r="S37" s="63">
        <v>49</v>
      </c>
      <c r="T37" s="29">
        <f>'Impedance Values from Automated'!D151</f>
        <v>33</v>
      </c>
      <c r="U37" s="30"/>
      <c r="V37" s="29" t="s">
        <v>139</v>
      </c>
      <c r="W37" s="64">
        <v>64</v>
      </c>
      <c r="X37" s="29">
        <f>'Impedance Values from Automated'!D183</f>
        <v>19</v>
      </c>
      <c r="Y37" s="30"/>
      <c r="Z37" s="29" t="s">
        <v>140</v>
      </c>
      <c r="AA37" s="64">
        <v>135</v>
      </c>
      <c r="AB37" s="29">
        <f>'Impedance Values from Automated'!D215</f>
        <v>23</v>
      </c>
      <c r="AC37" s="30"/>
      <c r="AD37" s="29" t="s">
        <v>141</v>
      </c>
      <c r="AE37" s="64">
        <v>247</v>
      </c>
      <c r="AF37" s="29">
        <f>'Impedance Values from Automated'!D247</f>
        <v>31</v>
      </c>
      <c r="AG37" s="21"/>
      <c r="AK37" s="54"/>
      <c r="AL37">
        <f t="shared" si="1"/>
        <v>3</v>
      </c>
      <c r="AM37" s="53"/>
      <c r="AN37" s="53"/>
      <c r="AO37" s="92">
        <v>132</v>
      </c>
      <c r="AP37" s="92">
        <v>140</v>
      </c>
      <c r="AQ37" s="92">
        <v>148</v>
      </c>
      <c r="AR37" s="92">
        <v>156</v>
      </c>
      <c r="AS37" s="92">
        <v>164</v>
      </c>
      <c r="AT37" s="92">
        <v>172</v>
      </c>
      <c r="AU37" s="92">
        <v>180</v>
      </c>
      <c r="AV37" s="92">
        <v>188</v>
      </c>
      <c r="AW37" s="101"/>
      <c r="AX37" s="101"/>
      <c r="AY37" s="101"/>
      <c r="AZ37" s="53"/>
      <c r="BA37" s="53"/>
      <c r="BB37" s="54">
        <f t="shared" si="0"/>
        <v>25</v>
      </c>
      <c r="BC37" s="54"/>
      <c r="BD37" s="54"/>
      <c r="BE37" s="95">
        <f>L44</f>
        <v>23</v>
      </c>
      <c r="BF37" s="94">
        <f>AB20</f>
        <v>32</v>
      </c>
      <c r="BG37" s="95">
        <f>L37</f>
        <v>30</v>
      </c>
      <c r="BH37" s="95">
        <f>AB29</f>
        <v>31</v>
      </c>
      <c r="BI37" s="94">
        <f>L32</f>
        <v>26</v>
      </c>
      <c r="BJ37" s="94">
        <f>AB36</f>
        <v>30</v>
      </c>
      <c r="BK37" s="94">
        <f>L26</f>
        <v>34</v>
      </c>
      <c r="BL37" s="94">
        <f>AF45</f>
        <v>20</v>
      </c>
      <c r="BP37" s="54"/>
      <c r="BQ37" s="62"/>
    </row>
    <row r="38" spans="2:69" ht="15.45" customHeight="1" x14ac:dyDescent="0.25">
      <c r="B38" s="29" t="s">
        <v>36</v>
      </c>
      <c r="C38" s="63">
        <v>18</v>
      </c>
      <c r="D38" s="29">
        <f>'Impedance Values from Automated'!D24</f>
        <v>33</v>
      </c>
      <c r="E38" s="21"/>
      <c r="F38" s="29" t="s">
        <v>142</v>
      </c>
      <c r="G38" s="64">
        <v>130</v>
      </c>
      <c r="H38" s="29">
        <f>'Impedance Values from Automated'!D56</f>
        <v>34</v>
      </c>
      <c r="I38" s="30"/>
      <c r="J38" s="29" t="s">
        <v>143</v>
      </c>
      <c r="K38" s="64">
        <v>166</v>
      </c>
      <c r="L38" s="29">
        <f>'Impedance Values from Automated'!D88</f>
        <v>28</v>
      </c>
      <c r="M38" s="30"/>
      <c r="N38" s="29" t="s">
        <v>144</v>
      </c>
      <c r="O38" s="64">
        <v>201</v>
      </c>
      <c r="P38" s="29">
        <f>'Impedance Values from Automated'!D120</f>
        <v>23</v>
      </c>
      <c r="Q38" s="30"/>
      <c r="R38" s="29" t="s">
        <v>145</v>
      </c>
      <c r="S38" s="63">
        <v>9</v>
      </c>
      <c r="T38" s="29">
        <f>'Impedance Values from Automated'!D152</f>
        <v>36</v>
      </c>
      <c r="U38" s="30"/>
      <c r="V38" s="29" t="s">
        <v>146</v>
      </c>
      <c r="W38" s="64">
        <v>117</v>
      </c>
      <c r="X38" s="29">
        <f>'Impedance Values from Automated'!D184</f>
        <v>32</v>
      </c>
      <c r="Y38" s="30"/>
      <c r="Z38" s="29" t="s">
        <v>50</v>
      </c>
      <c r="AA38" s="64">
        <v>153</v>
      </c>
      <c r="AB38" s="29">
        <f>'Impedance Values from Automated'!D216</f>
        <v>28</v>
      </c>
      <c r="AC38" s="30"/>
      <c r="AD38" s="29" t="s">
        <v>147</v>
      </c>
      <c r="AE38" s="64">
        <v>190</v>
      </c>
      <c r="AF38" s="29">
        <f>'Impedance Values from Automated'!D248</f>
        <v>21</v>
      </c>
      <c r="AG38" s="21"/>
      <c r="AK38" s="54"/>
      <c r="AL38">
        <f t="shared" si="1"/>
        <v>3</v>
      </c>
      <c r="AM38" s="53"/>
      <c r="AN38" s="53"/>
      <c r="AO38" s="92">
        <v>133</v>
      </c>
      <c r="AP38" s="92">
        <v>141</v>
      </c>
      <c r="AQ38" s="92">
        <v>149</v>
      </c>
      <c r="AR38" s="92">
        <v>157</v>
      </c>
      <c r="AS38" s="92">
        <v>165</v>
      </c>
      <c r="AT38" s="92">
        <v>173</v>
      </c>
      <c r="AU38" s="92">
        <v>181</v>
      </c>
      <c r="AV38" s="92">
        <v>189</v>
      </c>
      <c r="AW38" s="101"/>
      <c r="AX38" s="101"/>
      <c r="AY38" s="101"/>
      <c r="AZ38" s="53"/>
      <c r="BA38" s="53"/>
      <c r="BB38" s="54">
        <f t="shared" si="0"/>
        <v>26</v>
      </c>
      <c r="BC38" s="54"/>
      <c r="BD38" s="54"/>
      <c r="BE38" s="95">
        <f>AB45</f>
        <v>31</v>
      </c>
      <c r="BF38" s="94">
        <f>AB16</f>
        <v>32</v>
      </c>
      <c r="BG38" s="95">
        <f>L41</f>
        <v>23</v>
      </c>
      <c r="BH38" s="95">
        <f>AB25</f>
        <v>31</v>
      </c>
      <c r="BI38" s="94">
        <f>L35</f>
        <v>24</v>
      </c>
      <c r="BJ38" s="94">
        <f>AB33</f>
        <v>30</v>
      </c>
      <c r="BK38" s="94">
        <f>L30</f>
        <v>23</v>
      </c>
      <c r="BL38" s="94">
        <f>AF42</f>
        <v>33</v>
      </c>
      <c r="BP38" s="54"/>
      <c r="BQ38" s="54"/>
    </row>
    <row r="39" spans="2:69" ht="15.45" customHeight="1" x14ac:dyDescent="0.25">
      <c r="B39" s="29" t="s">
        <v>37</v>
      </c>
      <c r="C39" s="63">
        <v>29</v>
      </c>
      <c r="D39" s="29">
        <f>'Impedance Values from Automated'!D25</f>
        <v>27</v>
      </c>
      <c r="E39" s="21"/>
      <c r="F39" s="29" t="s">
        <v>148</v>
      </c>
      <c r="G39" s="64">
        <v>112</v>
      </c>
      <c r="H39" s="29">
        <f>'Impedance Values from Automated'!D57</f>
        <v>23</v>
      </c>
      <c r="I39" s="30"/>
      <c r="J39" s="29" t="s">
        <v>149</v>
      </c>
      <c r="K39" s="64">
        <v>184</v>
      </c>
      <c r="L39" s="29">
        <f>'Impedance Values from Automated'!D89</f>
        <v>25</v>
      </c>
      <c r="M39" s="30"/>
      <c r="N39" s="29" t="s">
        <v>150</v>
      </c>
      <c r="O39" s="64">
        <v>218</v>
      </c>
      <c r="P39" s="29">
        <f>'Impedance Values from Automated'!D121</f>
        <v>23</v>
      </c>
      <c r="Q39" s="30"/>
      <c r="R39" s="29" t="s">
        <v>151</v>
      </c>
      <c r="S39" s="63">
        <v>20</v>
      </c>
      <c r="T39" s="29">
        <f>'Impedance Values from Automated'!D153</f>
        <v>29</v>
      </c>
      <c r="U39" s="30"/>
      <c r="V39" s="29" t="s">
        <v>152</v>
      </c>
      <c r="W39" s="64">
        <v>99</v>
      </c>
      <c r="X39" s="29">
        <f>'Impedance Values from Automated'!D185</f>
        <v>31</v>
      </c>
      <c r="Y39" s="30"/>
      <c r="Z39" s="29" t="s">
        <v>153</v>
      </c>
      <c r="AA39" s="64">
        <v>171</v>
      </c>
      <c r="AB39" s="29">
        <f>'Impedance Values from Automated'!D217</f>
        <v>29</v>
      </c>
      <c r="AC39" s="30"/>
      <c r="AD39" s="29" t="s">
        <v>154</v>
      </c>
      <c r="AE39" s="64">
        <v>207</v>
      </c>
      <c r="AF39" s="29">
        <f>'Impedance Values from Automated'!D249</f>
        <v>31</v>
      </c>
      <c r="AG39" s="21"/>
      <c r="AJ39" s="38"/>
      <c r="AK39" s="54"/>
      <c r="AL39">
        <f t="shared" si="1"/>
        <v>3</v>
      </c>
      <c r="AM39" s="53"/>
      <c r="AN39" s="53"/>
      <c r="AO39" s="92">
        <v>134</v>
      </c>
      <c r="AP39" s="92">
        <v>142</v>
      </c>
      <c r="AQ39" s="92">
        <v>150</v>
      </c>
      <c r="AR39" s="92">
        <v>158</v>
      </c>
      <c r="AS39" s="92">
        <v>166</v>
      </c>
      <c r="AT39" s="92">
        <v>174</v>
      </c>
      <c r="AU39" s="92">
        <v>182</v>
      </c>
      <c r="AV39" s="92">
        <v>190</v>
      </c>
      <c r="AW39" s="101"/>
      <c r="AX39" s="101"/>
      <c r="AY39" s="101"/>
      <c r="AZ39" s="53"/>
      <c r="BA39" s="53"/>
      <c r="BB39" s="54">
        <f t="shared" si="0"/>
        <v>27</v>
      </c>
      <c r="BC39" s="54"/>
      <c r="BD39" s="54"/>
      <c r="BE39" s="95">
        <f>AB41</f>
        <v>41</v>
      </c>
      <c r="BF39" s="94">
        <f>L16</f>
        <v>31</v>
      </c>
      <c r="BG39" s="95">
        <f>L45</f>
        <v>32</v>
      </c>
      <c r="BH39" s="95">
        <f>AB21</f>
        <v>29</v>
      </c>
      <c r="BI39" s="94">
        <f>L38</f>
        <v>28</v>
      </c>
      <c r="BJ39" s="94">
        <f>AB30</f>
        <v>35</v>
      </c>
      <c r="BK39" s="94">
        <f>L33</f>
        <v>20</v>
      </c>
      <c r="BL39" s="94">
        <f>AF38</f>
        <v>21</v>
      </c>
      <c r="BP39" s="54"/>
      <c r="BQ39" s="54"/>
    </row>
    <row r="40" spans="2:69" ht="15.45" customHeight="1" x14ac:dyDescent="0.25">
      <c r="B40" s="29" t="s">
        <v>38</v>
      </c>
      <c r="C40" s="63">
        <v>42</v>
      </c>
      <c r="D40" s="29">
        <f>'Impedance Values from Automated'!D26</f>
        <v>26</v>
      </c>
      <c r="E40" s="21"/>
      <c r="F40" s="29" t="s">
        <v>155</v>
      </c>
      <c r="G40" s="64">
        <v>94</v>
      </c>
      <c r="H40" s="29">
        <f>'Impedance Values from Automated'!D58</f>
        <v>36</v>
      </c>
      <c r="I40" s="30"/>
      <c r="J40" s="29" t="s">
        <v>156</v>
      </c>
      <c r="K40" s="64">
        <v>131</v>
      </c>
      <c r="L40" s="29">
        <f>'Impedance Values from Automated'!D90</f>
        <v>26</v>
      </c>
      <c r="M40" s="30"/>
      <c r="N40" s="29" t="s">
        <v>157</v>
      </c>
      <c r="O40" s="64">
        <v>233</v>
      </c>
      <c r="P40" s="29">
        <f>'Impedance Values from Automated'!D122</f>
        <v>28</v>
      </c>
      <c r="Q40" s="30"/>
      <c r="R40" s="29" t="s">
        <v>158</v>
      </c>
      <c r="S40" s="63">
        <v>33</v>
      </c>
      <c r="T40" s="29">
        <f>'Impedance Values from Automated'!D154</f>
        <v>36</v>
      </c>
      <c r="U40" s="30"/>
      <c r="V40" s="29" t="s">
        <v>159</v>
      </c>
      <c r="W40" s="64">
        <v>81</v>
      </c>
      <c r="X40" s="29">
        <f>'Impedance Values from Automated'!D186</f>
        <v>30</v>
      </c>
      <c r="Y40" s="30"/>
      <c r="Z40" s="29" t="s">
        <v>160</v>
      </c>
      <c r="AA40" s="64">
        <v>116</v>
      </c>
      <c r="AB40" s="29">
        <f>'Impedance Values from Automated'!D218</f>
        <v>20</v>
      </c>
      <c r="AC40" s="30"/>
      <c r="AD40" s="29" t="s">
        <v>161</v>
      </c>
      <c r="AE40" s="64">
        <v>222</v>
      </c>
      <c r="AF40" s="29">
        <f>'Impedance Values from Automated'!D250</f>
        <v>41</v>
      </c>
      <c r="AG40" s="21"/>
      <c r="AK40" s="54"/>
      <c r="AL40">
        <f t="shared" si="1"/>
        <v>3</v>
      </c>
      <c r="AM40" s="53"/>
      <c r="AN40" s="53"/>
      <c r="AO40" s="92">
        <v>135</v>
      </c>
      <c r="AP40" s="92">
        <v>143</v>
      </c>
      <c r="AQ40" s="92">
        <v>151</v>
      </c>
      <c r="AR40" s="92">
        <v>159</v>
      </c>
      <c r="AS40" s="92">
        <v>167</v>
      </c>
      <c r="AT40" s="92">
        <v>175</v>
      </c>
      <c r="AU40" s="92">
        <v>183</v>
      </c>
      <c r="AV40" s="92">
        <v>191</v>
      </c>
      <c r="AW40" s="101"/>
      <c r="AX40" s="101"/>
      <c r="AY40" s="101"/>
      <c r="AZ40" s="53"/>
      <c r="BA40" s="53"/>
      <c r="BB40" s="54">
        <f t="shared" si="0"/>
        <v>28</v>
      </c>
      <c r="BC40" s="54"/>
      <c r="BD40" s="54"/>
      <c r="BE40" s="95">
        <f>AB37</f>
        <v>23</v>
      </c>
      <c r="BF40" s="95">
        <f>L20</f>
        <v>31</v>
      </c>
      <c r="BG40" s="94">
        <f>AB46</f>
        <v>27</v>
      </c>
      <c r="BH40" s="95">
        <f>AB17</f>
        <v>23</v>
      </c>
      <c r="BI40" s="94">
        <f>L42</f>
        <v>23</v>
      </c>
      <c r="BJ40" s="94">
        <f>AB26</f>
        <v>22</v>
      </c>
      <c r="BK40" s="94">
        <f>L36</f>
        <v>32</v>
      </c>
      <c r="BL40" s="95">
        <f>AF33</f>
        <v>45</v>
      </c>
      <c r="BP40" s="54"/>
      <c r="BQ40" s="54"/>
    </row>
    <row r="41" spans="2:69" ht="15.45" customHeight="1" x14ac:dyDescent="0.25">
      <c r="B41" s="29" t="s">
        <v>39</v>
      </c>
      <c r="C41" s="63">
        <v>57</v>
      </c>
      <c r="D41" s="29">
        <f>'Impedance Values from Automated'!D27</f>
        <v>34</v>
      </c>
      <c r="E41" s="30"/>
      <c r="F41" s="29" t="s">
        <v>162</v>
      </c>
      <c r="G41" s="64">
        <v>76</v>
      </c>
      <c r="H41" s="29">
        <f>'Impedance Values from Automated'!D59</f>
        <v>22</v>
      </c>
      <c r="I41" s="30"/>
      <c r="J41" s="29" t="s">
        <v>163</v>
      </c>
      <c r="K41" s="64">
        <v>149</v>
      </c>
      <c r="L41" s="29">
        <f>'Impedance Values from Automated'!D91</f>
        <v>23</v>
      </c>
      <c r="M41" s="30"/>
      <c r="N41" s="29" t="s">
        <v>164</v>
      </c>
      <c r="O41" s="64">
        <v>246</v>
      </c>
      <c r="P41" s="29">
        <f>'Impedance Values from Automated'!D123</f>
        <v>30</v>
      </c>
      <c r="Q41" s="30"/>
      <c r="R41" s="29" t="s">
        <v>165</v>
      </c>
      <c r="S41" s="63">
        <v>48</v>
      </c>
      <c r="T41" s="29">
        <f>'Impedance Values from Automated'!D155</f>
        <v>30</v>
      </c>
      <c r="U41" s="30"/>
      <c r="V41" s="29" t="s">
        <v>166</v>
      </c>
      <c r="W41" s="64">
        <v>63</v>
      </c>
      <c r="X41" s="29" t="str">
        <f>'Impedance Values from Automated'!D187</f>
        <v>&lt;= 15</v>
      </c>
      <c r="Y41" s="30"/>
      <c r="Z41" s="29" t="s">
        <v>167</v>
      </c>
      <c r="AA41" s="64">
        <v>134</v>
      </c>
      <c r="AB41" s="29">
        <f>'Impedance Values from Automated'!D219</f>
        <v>41</v>
      </c>
      <c r="AC41" s="30"/>
      <c r="AD41" s="29" t="s">
        <v>168</v>
      </c>
      <c r="AE41" s="64">
        <v>235</v>
      </c>
      <c r="AF41" s="29">
        <f>'Impedance Values from Automated'!D251</f>
        <v>21</v>
      </c>
      <c r="AG41" s="21"/>
      <c r="AK41" s="54"/>
      <c r="AL41">
        <f t="shared" si="1"/>
        <v>3</v>
      </c>
      <c r="AM41" s="53"/>
      <c r="AN41" s="53"/>
      <c r="AO41" s="92">
        <v>136</v>
      </c>
      <c r="AP41" s="92">
        <v>144</v>
      </c>
      <c r="AQ41" s="92">
        <v>152</v>
      </c>
      <c r="AR41" s="92">
        <v>160</v>
      </c>
      <c r="AS41" s="92">
        <v>168</v>
      </c>
      <c r="AT41" s="92">
        <v>176</v>
      </c>
      <c r="AU41" s="92">
        <v>184</v>
      </c>
      <c r="AV41" s="92">
        <v>192</v>
      </c>
      <c r="AW41" s="101"/>
      <c r="AX41" s="101"/>
      <c r="AY41" s="101"/>
      <c r="AZ41" s="53"/>
      <c r="BA41" s="53"/>
      <c r="BB41" s="54">
        <f t="shared" si="0"/>
        <v>29</v>
      </c>
      <c r="BC41" s="54"/>
      <c r="BD41" s="54"/>
      <c r="BE41" s="95">
        <f>AB34</f>
        <v>20</v>
      </c>
      <c r="BF41" s="95">
        <f>L24</f>
        <v>32</v>
      </c>
      <c r="BG41" s="94">
        <f>AB42</f>
        <v>32</v>
      </c>
      <c r="BH41" s="95">
        <f>L17</f>
        <v>25</v>
      </c>
      <c r="BI41" s="94">
        <f>L46</f>
        <v>22</v>
      </c>
      <c r="BJ41" s="94">
        <f>AB22</f>
        <v>21</v>
      </c>
      <c r="BK41" s="95">
        <f>L39</f>
        <v>25</v>
      </c>
      <c r="BL41" s="94">
        <f>AF28</f>
        <v>30</v>
      </c>
      <c r="BP41" s="54"/>
      <c r="BQ41" s="54"/>
    </row>
    <row r="42" spans="2:69" ht="15.45" customHeight="1" x14ac:dyDescent="0.25">
      <c r="B42" s="29" t="s">
        <v>40</v>
      </c>
      <c r="C42" s="63">
        <v>30</v>
      </c>
      <c r="D42" s="37">
        <f>'Impedance Values from Automated'!D28</f>
        <v>26</v>
      </c>
      <c r="E42" s="21"/>
      <c r="F42" s="29" t="s">
        <v>169</v>
      </c>
      <c r="G42" s="64">
        <v>113</v>
      </c>
      <c r="H42" s="29">
        <f>'Impedance Values from Automated'!D60</f>
        <v>26</v>
      </c>
      <c r="I42" s="30"/>
      <c r="J42" s="29" t="s">
        <v>170</v>
      </c>
      <c r="K42" s="64">
        <v>167</v>
      </c>
      <c r="L42" s="29">
        <f>'Impedance Values from Automated'!D92</f>
        <v>23</v>
      </c>
      <c r="M42" s="30"/>
      <c r="N42" s="29" t="s">
        <v>171</v>
      </c>
      <c r="O42" s="64">
        <v>202</v>
      </c>
      <c r="P42" s="29">
        <f>'Impedance Values from Automated'!D124</f>
        <v>31</v>
      </c>
      <c r="Q42" s="30"/>
      <c r="R42" s="29" t="s">
        <v>172</v>
      </c>
      <c r="S42" s="63">
        <v>19</v>
      </c>
      <c r="T42" s="29">
        <f>'Impedance Values from Automated'!D156</f>
        <v>29</v>
      </c>
      <c r="U42" s="30"/>
      <c r="V42" s="29" t="s">
        <v>173</v>
      </c>
      <c r="W42" s="64">
        <v>98</v>
      </c>
      <c r="X42" s="29">
        <f>'Impedance Values from Automated'!D188</f>
        <v>27</v>
      </c>
      <c r="Y42" s="30"/>
      <c r="Z42" s="29" t="s">
        <v>174</v>
      </c>
      <c r="AA42" s="64">
        <v>152</v>
      </c>
      <c r="AB42" s="29">
        <f>'Impedance Values from Automated'!D220</f>
        <v>32</v>
      </c>
      <c r="AC42" s="30"/>
      <c r="AD42" s="29" t="s">
        <v>175</v>
      </c>
      <c r="AE42" s="64">
        <v>189</v>
      </c>
      <c r="AF42" s="29">
        <f>'Impedance Values from Automated'!D252</f>
        <v>33</v>
      </c>
      <c r="AG42" s="21"/>
      <c r="AK42" s="54"/>
      <c r="AL42">
        <f t="shared" si="1"/>
        <v>3</v>
      </c>
      <c r="AM42" s="53"/>
      <c r="AN42" s="53"/>
      <c r="AO42" s="56"/>
      <c r="AP42" s="101"/>
      <c r="AQ42" s="101"/>
      <c r="AR42" s="101"/>
      <c r="AS42" s="101"/>
      <c r="AT42" s="101"/>
      <c r="AU42" s="101"/>
      <c r="AV42" s="101"/>
      <c r="AW42" s="101"/>
      <c r="AX42" s="101"/>
      <c r="AY42" s="101"/>
      <c r="AZ42" s="53"/>
      <c r="BA42" s="53"/>
      <c r="BB42" s="54" t="str">
        <f t="shared" si="0"/>
        <v/>
      </c>
      <c r="BC42" s="54"/>
      <c r="BD42" s="54"/>
      <c r="BE42" s="96"/>
      <c r="BO42" s="102"/>
      <c r="BP42" s="54"/>
      <c r="BQ42" s="54"/>
    </row>
    <row r="43" spans="2:69" ht="15.45" customHeight="1" x14ac:dyDescent="0.25">
      <c r="B43" s="29" t="s">
        <v>41</v>
      </c>
      <c r="C43" s="63">
        <v>43</v>
      </c>
      <c r="D43" s="29">
        <f>'Impedance Values from Automated'!D29</f>
        <v>33</v>
      </c>
      <c r="E43" s="21"/>
      <c r="F43" s="29" t="s">
        <v>176</v>
      </c>
      <c r="G43" s="64">
        <v>95</v>
      </c>
      <c r="H43" s="29">
        <f>'Impedance Values from Automated'!D61</f>
        <v>26</v>
      </c>
      <c r="I43" s="30"/>
      <c r="J43" s="29" t="s">
        <v>177</v>
      </c>
      <c r="K43" s="64">
        <v>185</v>
      </c>
      <c r="L43" s="29">
        <f>'Impedance Values from Automated'!D93</f>
        <v>34</v>
      </c>
      <c r="M43" s="30"/>
      <c r="N43" s="29" t="s">
        <v>178</v>
      </c>
      <c r="O43" s="64">
        <v>219</v>
      </c>
      <c r="P43" s="29">
        <f>'Impedance Values from Automated'!D125</f>
        <v>30</v>
      </c>
      <c r="Q43" s="30"/>
      <c r="R43" s="29" t="s">
        <v>179</v>
      </c>
      <c r="S43" s="63">
        <v>32</v>
      </c>
      <c r="T43" s="29">
        <f>'Impedance Values from Automated'!D157</f>
        <v>32</v>
      </c>
      <c r="U43" s="30"/>
      <c r="V43" s="29" t="s">
        <v>180</v>
      </c>
      <c r="W43" s="64">
        <v>80</v>
      </c>
      <c r="X43" s="29">
        <f>'Impedance Values from Automated'!D189</f>
        <v>33</v>
      </c>
      <c r="Y43" s="30"/>
      <c r="Z43" s="29" t="s">
        <v>181</v>
      </c>
      <c r="AA43" s="64">
        <v>170</v>
      </c>
      <c r="AB43" s="29">
        <f>'Impedance Values from Automated'!D221</f>
        <v>19</v>
      </c>
      <c r="AC43" s="30"/>
      <c r="AD43" s="29" t="s">
        <v>182</v>
      </c>
      <c r="AE43" s="64">
        <v>206</v>
      </c>
      <c r="AF43" s="29">
        <f>'Impedance Values from Automated'!D253</f>
        <v>31</v>
      </c>
      <c r="AG43" s="21"/>
      <c r="AK43" s="54"/>
      <c r="AL43">
        <f t="shared" si="1"/>
        <v>3</v>
      </c>
      <c r="AM43" s="53"/>
      <c r="AN43" s="53"/>
      <c r="AO43" s="101"/>
      <c r="AP43" s="101"/>
      <c r="AQ43" s="101"/>
      <c r="AR43" s="101"/>
      <c r="AS43" s="101"/>
      <c r="AT43" s="101"/>
      <c r="AU43" s="101"/>
      <c r="AV43" s="101"/>
      <c r="AW43" s="101"/>
      <c r="AX43" s="101"/>
      <c r="AY43" s="101"/>
      <c r="AZ43" s="101"/>
      <c r="BA43" s="53"/>
      <c r="BB43" s="54" t="str">
        <f t="shared" ref="BB43:BB54" si="3">IF(COUNTA(AM43:BA43)&gt;0,ROW()-12,"")</f>
        <v/>
      </c>
      <c r="BC43" s="54"/>
      <c r="BD43" s="54"/>
      <c r="BE43" s="103" t="s">
        <v>861</v>
      </c>
      <c r="BP43" s="54"/>
      <c r="BQ43" s="54"/>
    </row>
    <row r="44" spans="2:69" ht="15.45" customHeight="1" x14ac:dyDescent="0.25">
      <c r="B44" s="29" t="s">
        <v>42</v>
      </c>
      <c r="C44" s="63">
        <v>58</v>
      </c>
      <c r="D44" s="29">
        <f>'Impedance Values from Automated'!D30</f>
        <v>27</v>
      </c>
      <c r="E44" s="21"/>
      <c r="F44" s="29" t="s">
        <v>183</v>
      </c>
      <c r="G44" s="64">
        <v>77</v>
      </c>
      <c r="H44" s="29">
        <f>'Impedance Values from Automated'!D62</f>
        <v>30</v>
      </c>
      <c r="I44" s="30"/>
      <c r="J44" s="29" t="s">
        <v>184</v>
      </c>
      <c r="K44" s="64">
        <v>132</v>
      </c>
      <c r="L44" s="29">
        <f>'Impedance Values from Automated'!D94</f>
        <v>23</v>
      </c>
      <c r="M44" s="30"/>
      <c r="N44" s="29" t="s">
        <v>185</v>
      </c>
      <c r="O44" s="64">
        <v>234</v>
      </c>
      <c r="P44" s="29">
        <f>'Impedance Values from Automated'!D126</f>
        <v>27</v>
      </c>
      <c r="Q44" s="30"/>
      <c r="R44" s="29" t="s">
        <v>186</v>
      </c>
      <c r="S44" s="63">
        <v>47</v>
      </c>
      <c r="T44" s="29">
        <f>'Impedance Values from Automated'!D158</f>
        <v>29</v>
      </c>
      <c r="U44" s="30"/>
      <c r="V44" s="29" t="s">
        <v>187</v>
      </c>
      <c r="W44" s="64">
        <v>62</v>
      </c>
      <c r="X44" s="29">
        <f>'Impedance Values from Automated'!D190</f>
        <v>29</v>
      </c>
      <c r="Y44" s="30"/>
      <c r="Z44" s="29" t="s">
        <v>188</v>
      </c>
      <c r="AA44" s="64">
        <v>115</v>
      </c>
      <c r="AB44" s="29">
        <f>'Impedance Values from Automated'!D222</f>
        <v>31</v>
      </c>
      <c r="AC44" s="30"/>
      <c r="AD44" s="29" t="s">
        <v>189</v>
      </c>
      <c r="AE44" s="64">
        <v>221</v>
      </c>
      <c r="AF44" s="29">
        <f>'Impedance Values from Automated'!D254</f>
        <v>25</v>
      </c>
      <c r="AG44" s="21"/>
      <c r="AK44" s="54">
        <v>4</v>
      </c>
      <c r="AL44">
        <f t="shared" si="1"/>
        <v>4</v>
      </c>
      <c r="AM44" s="53"/>
      <c r="AN44" s="53"/>
      <c r="AO44" s="92">
        <v>193</v>
      </c>
      <c r="AP44" s="92">
        <v>201</v>
      </c>
      <c r="AQ44" s="92">
        <v>209</v>
      </c>
      <c r="AR44" s="92">
        <v>217</v>
      </c>
      <c r="AS44" s="92">
        <v>225</v>
      </c>
      <c r="AT44" s="92">
        <v>233</v>
      </c>
      <c r="AU44" s="92">
        <v>241</v>
      </c>
      <c r="AV44" s="93">
        <v>249</v>
      </c>
      <c r="AW44" s="101"/>
      <c r="AX44" s="101"/>
      <c r="AY44" s="101"/>
      <c r="AZ44" s="101"/>
      <c r="BA44" s="101"/>
      <c r="BB44" s="54">
        <f t="shared" si="3"/>
        <v>32</v>
      </c>
      <c r="BC44" s="54"/>
      <c r="BD44" s="54"/>
      <c r="BE44" s="94">
        <f>AB27</f>
        <v>33</v>
      </c>
      <c r="BF44" s="94">
        <f>P38</f>
        <v>23</v>
      </c>
      <c r="BG44" s="94">
        <f>AF29</f>
        <v>24</v>
      </c>
      <c r="BH44" s="94">
        <f>P34</f>
        <v>24</v>
      </c>
      <c r="BI44" s="95">
        <f>AF25</f>
        <v>24</v>
      </c>
      <c r="BJ44" s="94">
        <f>P40</f>
        <v>28</v>
      </c>
      <c r="BK44" s="94">
        <f>P18</f>
        <v>22</v>
      </c>
      <c r="BL44" s="95">
        <f>AF27</f>
        <v>20</v>
      </c>
      <c r="BP44" s="54"/>
      <c r="BQ44" s="54"/>
    </row>
    <row r="45" spans="2:69" ht="15.45" customHeight="1" x14ac:dyDescent="0.25">
      <c r="B45" s="29" t="s">
        <v>43</v>
      </c>
      <c r="C45" s="63">
        <v>44</v>
      </c>
      <c r="D45" s="29">
        <f>'Impedance Values from Automated'!D31</f>
        <v>25</v>
      </c>
      <c r="E45" s="21"/>
      <c r="F45" s="29" t="s">
        <v>190</v>
      </c>
      <c r="G45" s="64">
        <v>114</v>
      </c>
      <c r="H45" s="29">
        <f>'Impedance Values from Automated'!D63</f>
        <v>33</v>
      </c>
      <c r="I45" s="30"/>
      <c r="J45" s="29" t="s">
        <v>191</v>
      </c>
      <c r="K45" s="64">
        <v>150</v>
      </c>
      <c r="L45" s="29">
        <f>'Impedance Values from Automated'!D95</f>
        <v>32</v>
      </c>
      <c r="M45" s="30"/>
      <c r="N45" s="29" t="s">
        <v>192</v>
      </c>
      <c r="O45" s="64">
        <v>203</v>
      </c>
      <c r="P45" s="29">
        <f>'Impedance Values from Automated'!D127</f>
        <v>22</v>
      </c>
      <c r="Q45" s="30"/>
      <c r="R45" s="29" t="s">
        <v>193</v>
      </c>
      <c r="S45" s="63">
        <v>31</v>
      </c>
      <c r="T45" s="29">
        <f>'Impedance Values from Automated'!D159</f>
        <v>36</v>
      </c>
      <c r="U45" s="30"/>
      <c r="V45" s="29" t="s">
        <v>194</v>
      </c>
      <c r="W45" s="64">
        <v>97</v>
      </c>
      <c r="X45" s="29">
        <f>'Impedance Values from Automated'!D191</f>
        <v>31</v>
      </c>
      <c r="Y45" s="30"/>
      <c r="Z45" s="29" t="s">
        <v>195</v>
      </c>
      <c r="AA45" s="64">
        <v>133</v>
      </c>
      <c r="AB45" s="29">
        <f>'Impedance Values from Automated'!D223</f>
        <v>31</v>
      </c>
      <c r="AC45" s="30"/>
      <c r="AD45" s="29" t="s">
        <v>196</v>
      </c>
      <c r="AE45" s="64">
        <v>188</v>
      </c>
      <c r="AF45" s="29">
        <f>'Impedance Values from Automated'!D255</f>
        <v>20</v>
      </c>
      <c r="AG45" s="21"/>
      <c r="AK45" s="54"/>
      <c r="AL45">
        <f t="shared" si="1"/>
        <v>4</v>
      </c>
      <c r="AM45" s="53"/>
      <c r="AN45" s="53"/>
      <c r="AO45" s="92">
        <v>194</v>
      </c>
      <c r="AP45" s="92">
        <v>202</v>
      </c>
      <c r="AQ45" s="92">
        <v>210</v>
      </c>
      <c r="AR45" s="92">
        <v>218</v>
      </c>
      <c r="AS45" s="92">
        <v>226</v>
      </c>
      <c r="AT45" s="92">
        <v>234</v>
      </c>
      <c r="AU45" s="92">
        <v>242</v>
      </c>
      <c r="AV45" s="93">
        <v>250</v>
      </c>
      <c r="AW45" s="101"/>
      <c r="AX45" s="101"/>
      <c r="AY45" s="101"/>
      <c r="AZ45" s="101"/>
      <c r="BA45" s="101"/>
      <c r="BB45" s="54">
        <f t="shared" si="3"/>
        <v>33</v>
      </c>
      <c r="BC45" s="54"/>
      <c r="BD45" s="54"/>
      <c r="BE45" s="94">
        <f>AB23</f>
        <v>25</v>
      </c>
      <c r="BF45" s="94">
        <f>P42</f>
        <v>31</v>
      </c>
      <c r="BG45" s="94">
        <f>AF24</f>
        <v>31</v>
      </c>
      <c r="BH45" s="94">
        <f>P39</f>
        <v>23</v>
      </c>
      <c r="BI45" s="95">
        <f>AF21</f>
        <v>23</v>
      </c>
      <c r="BJ45" s="94">
        <f>P44</f>
        <v>27</v>
      </c>
      <c r="BK45" s="94">
        <f>P22</f>
        <v>31</v>
      </c>
      <c r="BL45" s="95">
        <f>AF23</f>
        <v>30</v>
      </c>
      <c r="BP45" s="54"/>
      <c r="BQ45" s="54"/>
    </row>
    <row r="46" spans="2:69" ht="15.45" customHeight="1" x14ac:dyDescent="0.25">
      <c r="B46" s="29" t="s">
        <v>44</v>
      </c>
      <c r="C46" s="63">
        <v>59</v>
      </c>
      <c r="D46" s="29">
        <f>'Impedance Values from Automated'!D32</f>
        <v>30</v>
      </c>
      <c r="E46" s="21"/>
      <c r="F46" s="29" t="s">
        <v>197</v>
      </c>
      <c r="G46" s="64">
        <v>96</v>
      </c>
      <c r="H46" s="29">
        <f>'Impedance Values from Automated'!D64</f>
        <v>34</v>
      </c>
      <c r="I46" s="30"/>
      <c r="J46" s="29" t="s">
        <v>198</v>
      </c>
      <c r="K46" s="64">
        <v>168</v>
      </c>
      <c r="L46" s="29">
        <f>'Impedance Values from Automated'!D96</f>
        <v>22</v>
      </c>
      <c r="M46" s="30"/>
      <c r="N46" s="29" t="s">
        <v>199</v>
      </c>
      <c r="O46" s="64">
        <v>220</v>
      </c>
      <c r="P46" s="29">
        <f>'Impedance Values from Automated'!D128</f>
        <v>32</v>
      </c>
      <c r="Q46" s="30"/>
      <c r="R46" s="29" t="s">
        <v>200</v>
      </c>
      <c r="S46" s="63">
        <v>46</v>
      </c>
      <c r="T46" s="29">
        <f>'Impedance Values from Automated'!D160</f>
        <v>34</v>
      </c>
      <c r="U46" s="30"/>
      <c r="V46" s="29" t="s">
        <v>201</v>
      </c>
      <c r="W46" s="64">
        <v>79</v>
      </c>
      <c r="X46" s="29">
        <f>'Impedance Values from Automated'!D192</f>
        <v>20</v>
      </c>
      <c r="Y46" s="30"/>
      <c r="Z46" s="29" t="s">
        <v>202</v>
      </c>
      <c r="AA46" s="64">
        <v>151</v>
      </c>
      <c r="AB46" s="29">
        <f>'Impedance Values from Automated'!D224</f>
        <v>27</v>
      </c>
      <c r="AC46" s="30"/>
      <c r="AD46" s="29" t="s">
        <v>203</v>
      </c>
      <c r="AE46" s="64">
        <v>205</v>
      </c>
      <c r="AF46" s="29">
        <f>'Impedance Values from Automated'!D256</f>
        <v>31</v>
      </c>
      <c r="AG46" s="21"/>
      <c r="AJ46" s="38"/>
      <c r="AK46" s="54"/>
      <c r="AL46">
        <f t="shared" si="1"/>
        <v>4</v>
      </c>
      <c r="AM46" s="53"/>
      <c r="AN46" s="53"/>
      <c r="AO46" s="92">
        <v>195</v>
      </c>
      <c r="AP46" s="92">
        <v>203</v>
      </c>
      <c r="AQ46" s="92">
        <v>211</v>
      </c>
      <c r="AR46" s="92">
        <v>219</v>
      </c>
      <c r="AS46" s="92">
        <v>227</v>
      </c>
      <c r="AT46" s="92">
        <v>235</v>
      </c>
      <c r="AU46" s="92">
        <v>243</v>
      </c>
      <c r="AV46" s="93">
        <v>251</v>
      </c>
      <c r="AW46" s="101"/>
      <c r="AX46" s="101"/>
      <c r="AY46" s="101"/>
      <c r="AZ46" s="101"/>
      <c r="BA46" s="101"/>
      <c r="BB46" s="54">
        <f t="shared" si="3"/>
        <v>34</v>
      </c>
      <c r="BC46" s="54"/>
      <c r="BD46" s="54"/>
      <c r="BE46" s="94">
        <f>AB19</f>
        <v>27</v>
      </c>
      <c r="BF46" s="95">
        <f>P45</f>
        <v>22</v>
      </c>
      <c r="BG46" s="94">
        <f>AF20</f>
        <v>28</v>
      </c>
      <c r="BH46" s="94">
        <f>P43</f>
        <v>30</v>
      </c>
      <c r="BI46" s="95">
        <f>AF17</f>
        <v>32</v>
      </c>
      <c r="BJ46" s="95">
        <f>AF41</f>
        <v>21</v>
      </c>
      <c r="BK46" s="94">
        <f>P26</f>
        <v>30</v>
      </c>
      <c r="BL46" s="94">
        <f>AF19</f>
        <v>19</v>
      </c>
      <c r="BP46" s="54"/>
      <c r="BQ46" s="54"/>
    </row>
    <row r="47" spans="2:69" ht="15.45" customHeight="1" x14ac:dyDescent="0.25">
      <c r="B47" s="29" t="s">
        <v>45</v>
      </c>
      <c r="C47" s="63">
        <v>60</v>
      </c>
      <c r="D47" s="29">
        <f>'Impedance Values from Automated'!D33</f>
        <v>36</v>
      </c>
      <c r="E47" s="21"/>
      <c r="F47" s="29" t="s">
        <v>204</v>
      </c>
      <c r="G47" s="64">
        <v>78</v>
      </c>
      <c r="H47" s="29">
        <f>'Impedance Values from Automated'!D65</f>
        <v>32</v>
      </c>
      <c r="I47" s="30"/>
      <c r="J47" s="29" t="s">
        <v>205</v>
      </c>
      <c r="K47" s="64">
        <v>186</v>
      </c>
      <c r="L47" s="29">
        <f>'Impedance Values from Automated'!D97</f>
        <v>32</v>
      </c>
      <c r="M47" s="30"/>
      <c r="N47" s="29" t="s">
        <v>206</v>
      </c>
      <c r="O47" s="64">
        <v>204</v>
      </c>
      <c r="P47" s="29">
        <f>'Impedance Values from Automated'!D129</f>
        <v>32</v>
      </c>
      <c r="Q47" s="30"/>
      <c r="R47" s="29" t="s">
        <v>207</v>
      </c>
      <c r="S47" s="63">
        <v>45</v>
      </c>
      <c r="T47" s="29">
        <f>'Impedance Values from Automated'!D161</f>
        <v>33</v>
      </c>
      <c r="U47" s="30"/>
      <c r="V47" s="29" t="s">
        <v>208</v>
      </c>
      <c r="W47" s="64">
        <v>61</v>
      </c>
      <c r="X47" s="29">
        <f>'Impedance Values from Automated'!D193</f>
        <v>20</v>
      </c>
      <c r="Y47" s="30"/>
      <c r="Z47" s="29" t="s">
        <v>209</v>
      </c>
      <c r="AA47" s="64">
        <v>169</v>
      </c>
      <c r="AB47" s="29">
        <f>'Impedance Values from Automated'!D225</f>
        <v>31</v>
      </c>
      <c r="AC47" s="30"/>
      <c r="AD47" s="29" t="s">
        <v>210</v>
      </c>
      <c r="AE47" s="64">
        <v>187</v>
      </c>
      <c r="AF47" s="29">
        <f>'Impedance Values from Automated'!D257</f>
        <v>21</v>
      </c>
      <c r="AG47" s="21"/>
      <c r="AK47" s="54"/>
      <c r="AL47">
        <f t="shared" si="1"/>
        <v>4</v>
      </c>
      <c r="AM47" s="53"/>
      <c r="AN47" s="53"/>
      <c r="AO47" s="92">
        <v>196</v>
      </c>
      <c r="AP47" s="92">
        <v>204</v>
      </c>
      <c r="AQ47" s="92">
        <v>212</v>
      </c>
      <c r="AR47" s="92">
        <v>220</v>
      </c>
      <c r="AS47" s="92">
        <v>228</v>
      </c>
      <c r="AT47" s="92">
        <v>236</v>
      </c>
      <c r="AU47" s="92">
        <v>244</v>
      </c>
      <c r="AV47" s="93">
        <v>252</v>
      </c>
      <c r="AW47" s="101"/>
      <c r="AX47" s="101"/>
      <c r="AY47" s="101"/>
      <c r="AZ47" s="101"/>
      <c r="BA47" s="101"/>
      <c r="BB47" s="54">
        <f t="shared" si="3"/>
        <v>35</v>
      </c>
      <c r="BC47" s="54"/>
      <c r="BD47" s="54"/>
      <c r="BE47" s="95">
        <f>L19</f>
        <v>31</v>
      </c>
      <c r="BF47" s="94">
        <f>P47</f>
        <v>32</v>
      </c>
      <c r="BG47" s="94">
        <f>AF16</f>
        <v>22</v>
      </c>
      <c r="BH47" s="95">
        <f>P46</f>
        <v>32</v>
      </c>
      <c r="BI47" s="94">
        <f>P17</f>
        <v>30</v>
      </c>
      <c r="BJ47" s="95">
        <f>AF36</f>
        <v>37</v>
      </c>
      <c r="BK47" s="95">
        <f>P31</f>
        <v>23</v>
      </c>
      <c r="BL47" s="94">
        <f>P19</f>
        <v>24</v>
      </c>
      <c r="BP47" s="54"/>
      <c r="BQ47" s="54"/>
    </row>
    <row r="48" spans="2:69" ht="15.45" customHeight="1" x14ac:dyDescent="0.25">
      <c r="AK48" s="54"/>
      <c r="AL48">
        <f t="shared" si="1"/>
        <v>4</v>
      </c>
      <c r="AM48" s="53"/>
      <c r="AN48" s="53"/>
      <c r="AO48" s="92">
        <v>197</v>
      </c>
      <c r="AP48" s="92">
        <v>205</v>
      </c>
      <c r="AQ48" s="92">
        <v>213</v>
      </c>
      <c r="AR48" s="92">
        <v>221</v>
      </c>
      <c r="AS48" s="92">
        <v>229</v>
      </c>
      <c r="AT48" s="92">
        <v>237</v>
      </c>
      <c r="AU48" s="92">
        <v>245</v>
      </c>
      <c r="AV48" s="93">
        <v>253</v>
      </c>
      <c r="AW48" s="101"/>
      <c r="AX48" s="101"/>
      <c r="AY48" s="101"/>
      <c r="AZ48" s="101"/>
      <c r="BA48" s="101"/>
      <c r="BB48" s="54">
        <f t="shared" si="3"/>
        <v>36</v>
      </c>
      <c r="BC48" s="54"/>
      <c r="BD48" s="54"/>
      <c r="BE48" s="94">
        <f>L23</f>
        <v>32</v>
      </c>
      <c r="BF48" s="94">
        <f>AF46</f>
        <v>31</v>
      </c>
      <c r="BG48" s="94">
        <f>P16</f>
        <v>27</v>
      </c>
      <c r="BH48" s="94">
        <f>AF44</f>
        <v>25</v>
      </c>
      <c r="BI48" s="94">
        <f>P21</f>
        <v>26</v>
      </c>
      <c r="BJ48" s="95">
        <f>AF31</f>
        <v>78</v>
      </c>
      <c r="BK48" s="94">
        <f>P36</f>
        <v>23</v>
      </c>
      <c r="BL48" s="94">
        <f>P23</f>
        <v>30</v>
      </c>
      <c r="BP48" s="54"/>
      <c r="BQ48" s="54"/>
    </row>
    <row r="49" spans="2:69" ht="15.45" customHeight="1" x14ac:dyDescent="0.25">
      <c r="B49" s="15" t="s">
        <v>553</v>
      </c>
      <c r="AK49" s="54"/>
      <c r="AL49">
        <f t="shared" si="1"/>
        <v>4</v>
      </c>
      <c r="AM49" s="53"/>
      <c r="AN49" s="53"/>
      <c r="AO49" s="92">
        <v>198</v>
      </c>
      <c r="AP49" s="92">
        <v>206</v>
      </c>
      <c r="AQ49" s="92">
        <v>214</v>
      </c>
      <c r="AR49" s="92">
        <v>222</v>
      </c>
      <c r="AS49" s="92">
        <v>230</v>
      </c>
      <c r="AT49" s="92">
        <v>238</v>
      </c>
      <c r="AU49" s="92">
        <v>246</v>
      </c>
      <c r="AV49" s="93">
        <v>254</v>
      </c>
      <c r="AW49" s="101"/>
      <c r="AX49" s="101"/>
      <c r="AY49" s="101"/>
      <c r="AZ49" s="101"/>
      <c r="BA49" s="101"/>
      <c r="BB49" s="54">
        <f t="shared" si="3"/>
        <v>37</v>
      </c>
      <c r="BC49" s="54"/>
      <c r="BD49" s="54"/>
      <c r="BE49" s="94">
        <f>L27</f>
        <v>32</v>
      </c>
      <c r="BF49" s="94">
        <f>AF43</f>
        <v>31</v>
      </c>
      <c r="BG49" s="94">
        <f>P20</f>
        <v>22</v>
      </c>
      <c r="BH49" s="94">
        <f>AF40</f>
        <v>41</v>
      </c>
      <c r="BI49" s="94">
        <f>P25</f>
        <v>34</v>
      </c>
      <c r="BJ49" s="95">
        <f>AF26</f>
        <v>30</v>
      </c>
      <c r="BK49" s="94">
        <f>P41</f>
        <v>30</v>
      </c>
      <c r="BL49" s="94">
        <f>P27</f>
        <v>22</v>
      </c>
      <c r="BP49" s="54"/>
      <c r="BQ49" s="54"/>
    </row>
    <row r="50" spans="2:69" ht="15.45" customHeight="1" x14ac:dyDescent="0.25">
      <c r="B50" s="15" t="s">
        <v>554</v>
      </c>
      <c r="AK50" s="54"/>
      <c r="AL50">
        <f t="shared" si="1"/>
        <v>4</v>
      </c>
      <c r="AM50" s="53"/>
      <c r="AN50" s="53"/>
      <c r="AO50" s="92">
        <v>199</v>
      </c>
      <c r="AP50" s="92">
        <v>207</v>
      </c>
      <c r="AQ50" s="92">
        <v>215</v>
      </c>
      <c r="AR50" s="92">
        <v>223</v>
      </c>
      <c r="AS50" s="92">
        <v>231</v>
      </c>
      <c r="AT50" s="92">
        <v>239</v>
      </c>
      <c r="AU50" s="93">
        <v>247</v>
      </c>
      <c r="AV50" s="93">
        <v>255</v>
      </c>
      <c r="AW50" s="101"/>
      <c r="AX50" s="101"/>
      <c r="AY50" s="101"/>
      <c r="AZ50" s="101"/>
      <c r="BA50" s="101"/>
      <c r="BB50" s="54">
        <f t="shared" si="3"/>
        <v>38</v>
      </c>
      <c r="BC50" s="54"/>
      <c r="BD50" s="54"/>
      <c r="BE50" s="94">
        <f>P28</f>
        <v>33</v>
      </c>
      <c r="BF50" s="94">
        <f>AF39</f>
        <v>31</v>
      </c>
      <c r="BG50" s="95">
        <f>P24</f>
        <v>22</v>
      </c>
      <c r="BH50" s="95">
        <f>AF35</f>
        <v>31</v>
      </c>
      <c r="BI50" s="94">
        <f>P30</f>
        <v>33</v>
      </c>
      <c r="BJ50" s="95">
        <f>AF22</f>
        <v>32</v>
      </c>
      <c r="BK50" s="95">
        <f>AF37</f>
        <v>31</v>
      </c>
      <c r="BL50" s="95">
        <f>P32</f>
        <v>29</v>
      </c>
      <c r="BP50" s="54"/>
      <c r="BQ50" s="54"/>
    </row>
    <row r="51" spans="2:69" ht="15.45" customHeight="1" x14ac:dyDescent="0.25">
      <c r="AK51" s="54"/>
      <c r="AL51">
        <f t="shared" si="1"/>
        <v>4</v>
      </c>
      <c r="AM51" s="53"/>
      <c r="AN51" s="53"/>
      <c r="AO51" s="92">
        <v>200</v>
      </c>
      <c r="AP51" s="92">
        <v>208</v>
      </c>
      <c r="AQ51" s="92">
        <v>216</v>
      </c>
      <c r="AR51" s="92">
        <v>224</v>
      </c>
      <c r="AS51" s="92">
        <v>232</v>
      </c>
      <c r="AT51" s="92">
        <v>240</v>
      </c>
      <c r="AU51" s="93">
        <v>248</v>
      </c>
      <c r="AV51" s="93">
        <v>256</v>
      </c>
      <c r="AW51" s="101"/>
      <c r="AX51" s="101"/>
      <c r="AY51" s="101"/>
      <c r="AZ51" s="101"/>
      <c r="BA51" s="101"/>
      <c r="BB51" s="54">
        <f t="shared" si="3"/>
        <v>39</v>
      </c>
      <c r="BC51" s="54"/>
      <c r="BD51" s="54"/>
      <c r="BE51" s="94">
        <f>P33</f>
        <v>28</v>
      </c>
      <c r="BF51" s="95">
        <f>AF34</f>
        <v>33</v>
      </c>
      <c r="BG51" s="94">
        <f>P29</f>
        <v>33</v>
      </c>
      <c r="BH51" s="95">
        <f>AF30</f>
        <v>34</v>
      </c>
      <c r="BI51" s="95">
        <f>P35</f>
        <v>22</v>
      </c>
      <c r="BJ51" s="94">
        <f>AF18</f>
        <v>23</v>
      </c>
      <c r="BK51" s="95">
        <f>AF32</f>
        <v>21</v>
      </c>
      <c r="BL51" s="94">
        <f>P37</f>
        <v>34</v>
      </c>
      <c r="BP51" s="54"/>
      <c r="BQ51" s="54"/>
    </row>
    <row r="52" spans="2:69" ht="15.45" customHeight="1" x14ac:dyDescent="0.25">
      <c r="AK52" s="54"/>
      <c r="AL52">
        <f t="shared" si="1"/>
        <v>4</v>
      </c>
      <c r="AM52" s="53"/>
      <c r="AN52" s="53"/>
      <c r="AO52" s="101"/>
      <c r="AP52" s="101"/>
      <c r="AQ52" s="101"/>
      <c r="AR52" s="101"/>
      <c r="AS52" s="101"/>
      <c r="AT52" s="101"/>
      <c r="AU52" s="101"/>
      <c r="AV52" s="101"/>
      <c r="AW52" s="101"/>
      <c r="AX52" s="101"/>
      <c r="AY52" s="101"/>
      <c r="AZ52" s="101"/>
      <c r="BA52" s="101"/>
      <c r="BB52" s="54" t="str">
        <f t="shared" si="3"/>
        <v/>
      </c>
      <c r="BC52" s="54"/>
      <c r="BD52" s="54"/>
      <c r="BP52" s="54"/>
      <c r="BQ52" s="54"/>
    </row>
    <row r="53" spans="2:69" ht="15.45" customHeight="1" x14ac:dyDescent="0.25">
      <c r="AK53" s="54"/>
      <c r="AL53">
        <f t="shared" si="1"/>
        <v>4</v>
      </c>
      <c r="AM53" s="53"/>
      <c r="AN53" s="53"/>
      <c r="AO53" s="53"/>
      <c r="AP53" s="101"/>
      <c r="AQ53" s="101"/>
      <c r="AR53" s="101"/>
      <c r="AS53" s="101"/>
      <c r="AT53" s="101"/>
      <c r="AU53" s="101"/>
      <c r="AV53" s="101"/>
      <c r="AW53" s="101"/>
      <c r="AX53" s="101"/>
      <c r="AY53" s="101"/>
      <c r="AZ53" s="101"/>
      <c r="BA53" s="101"/>
      <c r="BB53" s="54" t="str">
        <f t="shared" si="3"/>
        <v/>
      </c>
      <c r="BC53" s="54"/>
      <c r="BD53" s="54"/>
      <c r="BE53" s="102"/>
      <c r="BO53" s="96"/>
      <c r="BP53" s="54"/>
      <c r="BQ53" s="54"/>
    </row>
    <row r="54" spans="2:69" ht="15.45" customHeight="1" x14ac:dyDescent="0.25">
      <c r="AK54" s="54"/>
      <c r="AL54">
        <f t="shared" si="1"/>
        <v>4</v>
      </c>
      <c r="AM54" s="53"/>
      <c r="AN54" s="53"/>
      <c r="AO54" s="53"/>
      <c r="AP54" s="101"/>
      <c r="AQ54" s="101"/>
      <c r="AR54" s="101"/>
      <c r="AS54" s="101"/>
      <c r="AT54" s="101"/>
      <c r="AU54" s="101"/>
      <c r="AV54" s="101"/>
      <c r="AW54" s="101"/>
      <c r="AX54" s="101"/>
      <c r="AY54" s="101"/>
      <c r="AZ54" s="101"/>
      <c r="BA54" s="53"/>
      <c r="BB54" s="54" t="str">
        <f t="shared" si="3"/>
        <v/>
      </c>
      <c r="BC54" s="54"/>
      <c r="BD54" s="54"/>
      <c r="BP54" s="54"/>
      <c r="BQ54" s="54"/>
    </row>
    <row r="55" spans="2:69" ht="15.45" customHeight="1" x14ac:dyDescent="0.25"/>
    <row r="56" spans="2:69" ht="15.45" customHeight="1" x14ac:dyDescent="0.3">
      <c r="H56" s="14" t="s">
        <v>289</v>
      </c>
      <c r="AC56" s="16" t="s">
        <v>290</v>
      </c>
      <c r="AY56" s="16" t="s">
        <v>288</v>
      </c>
    </row>
    <row r="57" spans="2:69" ht="15.45" customHeight="1" x14ac:dyDescent="0.25">
      <c r="D57" s="17"/>
      <c r="E57" s="17"/>
      <c r="F57" s="17"/>
      <c r="G57" s="67" t="s">
        <v>210</v>
      </c>
      <c r="H57" s="69" t="s">
        <v>209</v>
      </c>
      <c r="I57" s="69" t="s">
        <v>202</v>
      </c>
      <c r="J57" s="69" t="s">
        <v>195</v>
      </c>
      <c r="K57" s="69" t="s">
        <v>188</v>
      </c>
      <c r="L57" s="70" t="s">
        <v>194</v>
      </c>
      <c r="M57" s="85" t="s">
        <v>201</v>
      </c>
      <c r="N57" s="70" t="s">
        <v>208</v>
      </c>
      <c r="O57" s="17"/>
      <c r="P57" s="17"/>
      <c r="Q57" s="17"/>
      <c r="R57" s="17"/>
      <c r="S57" s="17"/>
      <c r="Y57" s="17"/>
      <c r="Z57" s="17"/>
      <c r="AA57" s="17"/>
      <c r="AB57" s="67">
        <v>187</v>
      </c>
      <c r="AC57" s="69">
        <v>169</v>
      </c>
      <c r="AD57" s="69">
        <v>151</v>
      </c>
      <c r="AE57" s="69">
        <v>133</v>
      </c>
      <c r="AF57" s="86">
        <v>115</v>
      </c>
      <c r="AG57" s="70">
        <v>97</v>
      </c>
      <c r="AH57" s="85">
        <v>79</v>
      </c>
      <c r="AI57" s="70">
        <v>61</v>
      </c>
      <c r="AJ57" s="17"/>
      <c r="AK57" s="17"/>
      <c r="AL57" s="17"/>
      <c r="AM57" s="17"/>
      <c r="AN57" s="17"/>
      <c r="AO57" s="17"/>
      <c r="AU57" s="17"/>
      <c r="AV57" s="17"/>
      <c r="AW57" s="17"/>
      <c r="AX57" s="67">
        <f t="shared" ref="AX57:AX62" si="4">BL36</f>
        <v>21</v>
      </c>
      <c r="AY57" s="69">
        <f t="shared" ref="AY57:AY64" si="5">BJ34</f>
        <v>31</v>
      </c>
      <c r="AZ57" s="69">
        <f>BG40</f>
        <v>27</v>
      </c>
      <c r="BA57" s="69">
        <f>BE38</f>
        <v>31</v>
      </c>
      <c r="BB57" s="69"/>
      <c r="BC57" s="69"/>
      <c r="BD57" s="69">
        <f t="shared" ref="BD57:BD62" si="6">BK26</f>
        <v>31</v>
      </c>
      <c r="BE57" s="70">
        <f t="shared" ref="BE57:BE64" si="7">BI24</f>
        <v>31</v>
      </c>
      <c r="BF57" s="85">
        <f>BF30</f>
        <v>20</v>
      </c>
      <c r="BG57" s="70">
        <f>BL18</f>
        <v>20</v>
      </c>
      <c r="BH57" s="17"/>
      <c r="BI57" s="17"/>
      <c r="BJ57" s="17"/>
      <c r="BK57" s="17"/>
      <c r="BL57" s="17"/>
    </row>
    <row r="58" spans="2:69" ht="15.45" customHeight="1" x14ac:dyDescent="0.25">
      <c r="D58" s="17"/>
      <c r="E58" s="17"/>
      <c r="F58" s="67" t="s">
        <v>203</v>
      </c>
      <c r="G58" s="67" t="s">
        <v>196</v>
      </c>
      <c r="H58" s="69" t="s">
        <v>181</v>
      </c>
      <c r="I58" s="69" t="s">
        <v>174</v>
      </c>
      <c r="J58" s="69" t="s">
        <v>167</v>
      </c>
      <c r="K58" s="69" t="s">
        <v>160</v>
      </c>
      <c r="L58" s="70" t="s">
        <v>173</v>
      </c>
      <c r="M58" s="70" t="s">
        <v>180</v>
      </c>
      <c r="N58" s="84" t="s">
        <v>187</v>
      </c>
      <c r="O58" s="71" t="s">
        <v>207</v>
      </c>
      <c r="Q58" s="17"/>
      <c r="R58" s="17"/>
      <c r="S58" s="17"/>
      <c r="Y58" s="17"/>
      <c r="Z58" s="17"/>
      <c r="AA58" s="67">
        <v>205</v>
      </c>
      <c r="AB58" s="67">
        <v>188</v>
      </c>
      <c r="AC58" s="69">
        <v>170</v>
      </c>
      <c r="AD58" s="69">
        <v>152</v>
      </c>
      <c r="AE58" s="69">
        <v>134</v>
      </c>
      <c r="AF58" s="86">
        <v>116</v>
      </c>
      <c r="AG58" s="70">
        <v>98</v>
      </c>
      <c r="AH58" s="70">
        <v>80</v>
      </c>
      <c r="AI58" s="84">
        <v>62</v>
      </c>
      <c r="AJ58" s="71">
        <v>45</v>
      </c>
      <c r="AM58" s="17"/>
      <c r="AN58" s="17"/>
      <c r="AO58" s="17"/>
      <c r="AU58" s="17"/>
      <c r="AV58" s="17"/>
      <c r="AW58" s="67">
        <f>BF48</f>
        <v>31</v>
      </c>
      <c r="AX58" s="67">
        <f t="shared" si="4"/>
        <v>20</v>
      </c>
      <c r="AY58" s="69">
        <f t="shared" si="5"/>
        <v>19</v>
      </c>
      <c r="AZ58" s="69">
        <f>BG41</f>
        <v>32</v>
      </c>
      <c r="BA58" s="69">
        <f>BE39</f>
        <v>41</v>
      </c>
      <c r="BB58" s="69"/>
      <c r="BC58" s="69"/>
      <c r="BD58" s="69">
        <f t="shared" si="6"/>
        <v>20</v>
      </c>
      <c r="BE58" s="70">
        <f t="shared" si="7"/>
        <v>27</v>
      </c>
      <c r="BF58" s="70">
        <f>BF31</f>
        <v>33</v>
      </c>
      <c r="BG58" s="84">
        <f>BL19</f>
        <v>29</v>
      </c>
      <c r="BH58" s="71">
        <f>BJ18</f>
        <v>33</v>
      </c>
      <c r="BJ58" s="17"/>
      <c r="BK58" s="17"/>
      <c r="BL58" s="17"/>
    </row>
    <row r="59" spans="2:69" ht="15.45" customHeight="1" x14ac:dyDescent="0.25">
      <c r="B59" s="65"/>
      <c r="D59" s="17"/>
      <c r="E59" s="67" t="s">
        <v>189</v>
      </c>
      <c r="F59" s="67" t="s">
        <v>182</v>
      </c>
      <c r="G59" s="67" t="s">
        <v>175</v>
      </c>
      <c r="H59" s="69" t="s">
        <v>153</v>
      </c>
      <c r="I59" s="69" t="s">
        <v>50</v>
      </c>
      <c r="J59" s="69" t="s">
        <v>140</v>
      </c>
      <c r="K59" s="70" t="s">
        <v>146</v>
      </c>
      <c r="L59" s="70" t="s">
        <v>152</v>
      </c>
      <c r="M59" s="70" t="s">
        <v>159</v>
      </c>
      <c r="N59" s="70" t="s">
        <v>166</v>
      </c>
      <c r="O59" s="83" t="s">
        <v>200</v>
      </c>
      <c r="P59" s="71" t="s">
        <v>193</v>
      </c>
      <c r="R59" s="17"/>
      <c r="S59" s="65"/>
      <c r="W59" s="65"/>
      <c r="Y59" s="17"/>
      <c r="Z59" s="67">
        <v>221</v>
      </c>
      <c r="AA59" s="67">
        <v>206</v>
      </c>
      <c r="AB59" s="67">
        <v>189</v>
      </c>
      <c r="AC59" s="69">
        <v>171</v>
      </c>
      <c r="AD59" s="69">
        <v>153</v>
      </c>
      <c r="AE59" s="69">
        <v>135</v>
      </c>
      <c r="AF59" s="70">
        <v>117</v>
      </c>
      <c r="AG59" s="70">
        <v>99</v>
      </c>
      <c r="AH59" s="85">
        <v>81</v>
      </c>
      <c r="AI59" s="70">
        <v>63</v>
      </c>
      <c r="AJ59" s="83">
        <v>46</v>
      </c>
      <c r="AK59" s="71">
        <v>31</v>
      </c>
      <c r="AL59" s="39"/>
      <c r="AN59" s="17"/>
      <c r="AO59" s="65"/>
      <c r="AS59" s="65"/>
      <c r="AU59" s="17"/>
      <c r="AV59" s="67">
        <f>BH48</f>
        <v>25</v>
      </c>
      <c r="AW59" s="67">
        <f>BF49</f>
        <v>31</v>
      </c>
      <c r="AX59" s="67">
        <f t="shared" si="4"/>
        <v>33</v>
      </c>
      <c r="AY59" s="69">
        <f t="shared" si="5"/>
        <v>29</v>
      </c>
      <c r="AZ59" s="69">
        <f t="shared" ref="AZ59:AZ66" si="8">BH34</f>
        <v>28</v>
      </c>
      <c r="BA59" s="69">
        <f>BE40</f>
        <v>23</v>
      </c>
      <c r="BB59" s="69"/>
      <c r="BC59" s="69"/>
      <c r="BD59" s="70">
        <f t="shared" si="6"/>
        <v>32</v>
      </c>
      <c r="BE59" s="70">
        <f t="shared" si="7"/>
        <v>31</v>
      </c>
      <c r="BF59" s="85">
        <f t="shared" ref="BF59:BF66" si="9">BG24</f>
        <v>30</v>
      </c>
      <c r="BG59" s="70" t="str">
        <f>BL20</f>
        <v>&lt;= 15</v>
      </c>
      <c r="BH59" s="83">
        <f>BJ19</f>
        <v>34</v>
      </c>
      <c r="BI59" s="71">
        <f>BH20</f>
        <v>36</v>
      </c>
      <c r="BK59" s="17"/>
      <c r="BL59" s="65"/>
    </row>
    <row r="60" spans="2:69" ht="15.45" customHeight="1" x14ac:dyDescent="0.25">
      <c r="D60" s="67" t="s">
        <v>168</v>
      </c>
      <c r="E60" s="67" t="s">
        <v>161</v>
      </c>
      <c r="F60" s="67" t="s">
        <v>154</v>
      </c>
      <c r="G60" s="67" t="s">
        <v>147</v>
      </c>
      <c r="H60" s="69" t="s">
        <v>133</v>
      </c>
      <c r="I60" s="69" t="s">
        <v>126</v>
      </c>
      <c r="J60" s="69" t="s">
        <v>119</v>
      </c>
      <c r="K60" s="70" t="s">
        <v>118</v>
      </c>
      <c r="L60" s="70" t="s">
        <v>125</v>
      </c>
      <c r="M60" s="70" t="s">
        <v>132</v>
      </c>
      <c r="N60" s="70" t="s">
        <v>139</v>
      </c>
      <c r="O60" s="71" t="s">
        <v>186</v>
      </c>
      <c r="P60" s="71" t="s">
        <v>179</v>
      </c>
      <c r="Q60" s="71" t="s">
        <v>172</v>
      </c>
      <c r="R60" s="18"/>
      <c r="S60" s="17"/>
      <c r="Y60" s="67">
        <v>235</v>
      </c>
      <c r="Z60" s="67">
        <v>222</v>
      </c>
      <c r="AA60" s="67">
        <v>207</v>
      </c>
      <c r="AB60" s="67">
        <v>190</v>
      </c>
      <c r="AC60" s="69">
        <v>172</v>
      </c>
      <c r="AD60" s="69">
        <v>154</v>
      </c>
      <c r="AE60" s="69">
        <v>136</v>
      </c>
      <c r="AF60" s="70">
        <v>118</v>
      </c>
      <c r="AG60" s="70">
        <v>100</v>
      </c>
      <c r="AH60" s="70">
        <v>82</v>
      </c>
      <c r="AI60" s="84">
        <v>64</v>
      </c>
      <c r="AJ60" s="71">
        <v>47</v>
      </c>
      <c r="AK60" s="71">
        <v>32</v>
      </c>
      <c r="AL60" s="71"/>
      <c r="AM60" s="71">
        <v>19</v>
      </c>
      <c r="AN60" s="18"/>
      <c r="AO60" s="17"/>
      <c r="AU60" s="67">
        <f t="shared" ref="AU60:AU65" si="10">BJ46</f>
        <v>21</v>
      </c>
      <c r="AV60" s="67">
        <f>BH49</f>
        <v>41</v>
      </c>
      <c r="AW60" s="67">
        <f>BF50</f>
        <v>31</v>
      </c>
      <c r="AX60" s="67">
        <f t="shared" si="4"/>
        <v>21</v>
      </c>
      <c r="AY60" s="69">
        <f t="shared" si="5"/>
        <v>30</v>
      </c>
      <c r="AZ60" s="69">
        <f t="shared" si="8"/>
        <v>31</v>
      </c>
      <c r="BA60" s="69">
        <f>BE41</f>
        <v>20</v>
      </c>
      <c r="BB60" s="69"/>
      <c r="BC60" s="69"/>
      <c r="BD60" s="70">
        <f t="shared" si="6"/>
        <v>21</v>
      </c>
      <c r="BE60" s="70">
        <f t="shared" si="7"/>
        <v>20</v>
      </c>
      <c r="BF60" s="70">
        <f t="shared" si="9"/>
        <v>29</v>
      </c>
      <c r="BG60" s="84">
        <f>BL21</f>
        <v>19</v>
      </c>
      <c r="BH60" s="71">
        <f>BJ20</f>
        <v>29</v>
      </c>
      <c r="BI60" s="71">
        <f>BH21</f>
        <v>32</v>
      </c>
      <c r="BJ60" s="71">
        <f t="shared" ref="BJ60:BJ65" si="11">BG16</f>
        <v>29</v>
      </c>
      <c r="BK60" s="18"/>
      <c r="BL60" s="17"/>
    </row>
    <row r="61" spans="2:69" ht="15.45" customHeight="1" x14ac:dyDescent="0.25">
      <c r="C61" s="67" t="s">
        <v>141</v>
      </c>
      <c r="D61" s="67" t="s">
        <v>134</v>
      </c>
      <c r="E61" s="67" t="s">
        <v>127</v>
      </c>
      <c r="F61" s="67" t="s">
        <v>120</v>
      </c>
      <c r="G61" s="67" t="s">
        <v>113</v>
      </c>
      <c r="H61" s="69" t="s">
        <v>112</v>
      </c>
      <c r="I61" s="69" t="s">
        <v>105</v>
      </c>
      <c r="J61" s="69" t="s">
        <v>98</v>
      </c>
      <c r="K61" s="70" t="s">
        <v>90</v>
      </c>
      <c r="L61" s="70" t="s">
        <v>97</v>
      </c>
      <c r="M61" s="70" t="s">
        <v>104</v>
      </c>
      <c r="N61" s="70" t="s">
        <v>111</v>
      </c>
      <c r="O61" s="71" t="s">
        <v>165</v>
      </c>
      <c r="P61" s="71" t="s">
        <v>158</v>
      </c>
      <c r="Q61" s="71" t="s">
        <v>151</v>
      </c>
      <c r="R61" s="71" t="s">
        <v>145</v>
      </c>
      <c r="S61" s="19"/>
      <c r="X61" s="67">
        <v>247</v>
      </c>
      <c r="Y61" s="67">
        <v>236</v>
      </c>
      <c r="Z61" s="67">
        <v>223</v>
      </c>
      <c r="AA61" s="67">
        <v>208</v>
      </c>
      <c r="AB61" s="67">
        <v>191</v>
      </c>
      <c r="AC61" s="69">
        <v>173</v>
      </c>
      <c r="AD61" s="69">
        <v>155</v>
      </c>
      <c r="AE61" s="69">
        <v>137</v>
      </c>
      <c r="AF61" s="70">
        <v>119</v>
      </c>
      <c r="AG61" s="70">
        <v>101</v>
      </c>
      <c r="AH61" s="85">
        <v>83</v>
      </c>
      <c r="AI61" s="70">
        <v>65</v>
      </c>
      <c r="AJ61" s="83">
        <v>48</v>
      </c>
      <c r="AK61" s="71">
        <v>33</v>
      </c>
      <c r="AL61" s="71"/>
      <c r="AM61" s="71">
        <v>20</v>
      </c>
      <c r="AN61" s="71">
        <v>9</v>
      </c>
      <c r="AO61" s="19"/>
      <c r="AT61" s="67">
        <f>BK50</f>
        <v>31</v>
      </c>
      <c r="AU61" s="67">
        <f t="shared" si="10"/>
        <v>37</v>
      </c>
      <c r="AV61" s="67">
        <f>BH50</f>
        <v>31</v>
      </c>
      <c r="AW61" s="67">
        <f>BF51</f>
        <v>33</v>
      </c>
      <c r="AX61" s="67">
        <f t="shared" si="4"/>
        <v>45</v>
      </c>
      <c r="AY61" s="69">
        <f t="shared" si="5"/>
        <v>30</v>
      </c>
      <c r="AZ61" s="69">
        <f t="shared" si="8"/>
        <v>26</v>
      </c>
      <c r="BA61" s="69">
        <f t="shared" ref="BA61:BA68" si="12">BF34</f>
        <v>26</v>
      </c>
      <c r="BB61" s="69"/>
      <c r="BC61" s="69"/>
      <c r="BD61" s="70">
        <f t="shared" si="6"/>
        <v>30</v>
      </c>
      <c r="BE61" s="70">
        <f t="shared" si="7"/>
        <v>21</v>
      </c>
      <c r="BF61" s="85">
        <f t="shared" si="9"/>
        <v>21</v>
      </c>
      <c r="BG61" s="70">
        <f t="shared" ref="BG61:BG68" si="13">BE24</f>
        <v>34</v>
      </c>
      <c r="BH61" s="71">
        <f>BJ21</f>
        <v>30</v>
      </c>
      <c r="BI61" s="71">
        <f t="shared" ref="BI61:BI68" si="14">BI14</f>
        <v>36</v>
      </c>
      <c r="BJ61" s="71">
        <f t="shared" si="11"/>
        <v>29</v>
      </c>
      <c r="BK61" s="71">
        <f t="shared" ref="BK61:BK68" si="15">BF14</f>
        <v>36</v>
      </c>
      <c r="BL61" s="19"/>
    </row>
    <row r="62" spans="2:69" ht="15.45" customHeight="1" x14ac:dyDescent="0.25">
      <c r="B62" s="66" t="s">
        <v>211</v>
      </c>
      <c r="C62" s="67" t="s">
        <v>106</v>
      </c>
      <c r="D62" s="67" t="s">
        <v>99</v>
      </c>
      <c r="E62" s="67" t="s">
        <v>92</v>
      </c>
      <c r="F62" s="67" t="s">
        <v>85</v>
      </c>
      <c r="G62" s="68" t="s">
        <v>78</v>
      </c>
      <c r="H62" s="69" t="s">
        <v>91</v>
      </c>
      <c r="I62" s="69" t="s">
        <v>84</v>
      </c>
      <c r="J62" s="69" t="s">
        <v>77</v>
      </c>
      <c r="K62" s="70" t="s">
        <v>62</v>
      </c>
      <c r="L62" s="70" t="s">
        <v>69</v>
      </c>
      <c r="M62" s="70" t="s">
        <v>76</v>
      </c>
      <c r="N62" s="70" t="s">
        <v>83</v>
      </c>
      <c r="O62" s="71" t="s">
        <v>138</v>
      </c>
      <c r="P62" s="71" t="s">
        <v>131</v>
      </c>
      <c r="Q62" s="71" t="s">
        <v>124</v>
      </c>
      <c r="R62" s="71" t="s">
        <v>117</v>
      </c>
      <c r="S62" s="71" t="s">
        <v>110</v>
      </c>
      <c r="W62" s="66" t="s">
        <v>211</v>
      </c>
      <c r="X62" s="67">
        <v>248</v>
      </c>
      <c r="Y62" s="67">
        <v>237</v>
      </c>
      <c r="Z62" s="67">
        <v>224</v>
      </c>
      <c r="AA62" s="67">
        <v>209</v>
      </c>
      <c r="AB62" s="67">
        <v>192</v>
      </c>
      <c r="AC62" s="69">
        <v>174</v>
      </c>
      <c r="AD62" s="69">
        <v>156</v>
      </c>
      <c r="AE62" s="69">
        <v>138</v>
      </c>
      <c r="AF62" s="70">
        <v>120</v>
      </c>
      <c r="AG62" s="70">
        <v>102</v>
      </c>
      <c r="AH62" s="70">
        <v>84</v>
      </c>
      <c r="AI62" s="84">
        <v>66</v>
      </c>
      <c r="AJ62" s="71">
        <v>49</v>
      </c>
      <c r="AK62" s="71">
        <v>34</v>
      </c>
      <c r="AL62" s="71"/>
      <c r="AM62" s="71">
        <v>21</v>
      </c>
      <c r="AN62" s="71">
        <v>10</v>
      </c>
      <c r="AO62" s="71">
        <v>1</v>
      </c>
      <c r="AS62" s="66" t="s">
        <v>211</v>
      </c>
      <c r="AT62" s="67">
        <f>BK51</f>
        <v>21</v>
      </c>
      <c r="AU62" s="67">
        <f t="shared" si="10"/>
        <v>78</v>
      </c>
      <c r="AV62" s="67">
        <f>BH51</f>
        <v>34</v>
      </c>
      <c r="AW62" s="67">
        <f t="shared" ref="AW62:AW69" si="16">BG44</f>
        <v>24</v>
      </c>
      <c r="AX62" s="67">
        <f t="shared" si="4"/>
        <v>30</v>
      </c>
      <c r="AY62" s="69">
        <f t="shared" si="5"/>
        <v>35</v>
      </c>
      <c r="AZ62" s="69">
        <f t="shared" si="8"/>
        <v>31</v>
      </c>
      <c r="BA62" s="69">
        <f t="shared" si="12"/>
        <v>21</v>
      </c>
      <c r="BB62" s="69"/>
      <c r="BC62" s="69"/>
      <c r="BD62" s="70">
        <f t="shared" si="6"/>
        <v>32</v>
      </c>
      <c r="BE62" s="70">
        <f t="shared" si="7"/>
        <v>25</v>
      </c>
      <c r="BF62" s="70">
        <f t="shared" si="9"/>
        <v>29</v>
      </c>
      <c r="BG62" s="84">
        <f t="shared" si="13"/>
        <v>29</v>
      </c>
      <c r="BH62" s="71">
        <f t="shared" ref="BH62:BH69" si="17">BK14</f>
        <v>33</v>
      </c>
      <c r="BI62" s="71">
        <f t="shared" si="14"/>
        <v>37</v>
      </c>
      <c r="BJ62" s="71">
        <f t="shared" si="11"/>
        <v>25</v>
      </c>
      <c r="BK62" s="71">
        <f t="shared" si="15"/>
        <v>39</v>
      </c>
      <c r="BL62" s="71">
        <f t="shared" ref="BL62:BL69" si="18">BE14</f>
        <v>26</v>
      </c>
    </row>
    <row r="63" spans="2:69" ht="15.45" customHeight="1" x14ac:dyDescent="0.25">
      <c r="B63" s="72" t="s">
        <v>212</v>
      </c>
      <c r="C63" s="67" t="s">
        <v>71</v>
      </c>
      <c r="D63" s="67" t="s">
        <v>64</v>
      </c>
      <c r="E63" s="67" t="s">
        <v>57</v>
      </c>
      <c r="F63" s="67" t="s">
        <v>216</v>
      </c>
      <c r="G63" s="69" t="s">
        <v>70</v>
      </c>
      <c r="H63" s="69" t="s">
        <v>63</v>
      </c>
      <c r="I63" s="69" t="s">
        <v>56</v>
      </c>
      <c r="J63" s="69" t="s">
        <v>217</v>
      </c>
      <c r="K63" s="70" t="s">
        <v>218</v>
      </c>
      <c r="L63" s="70" t="s">
        <v>219</v>
      </c>
      <c r="M63" s="70" t="s">
        <v>220</v>
      </c>
      <c r="N63" s="70" t="s">
        <v>55</v>
      </c>
      <c r="O63" s="71" t="s">
        <v>103</v>
      </c>
      <c r="P63" s="71" t="s">
        <v>96</v>
      </c>
      <c r="Q63" s="71" t="s">
        <v>89</v>
      </c>
      <c r="R63" s="71" t="s">
        <v>82</v>
      </c>
      <c r="S63" s="71" t="s">
        <v>75</v>
      </c>
      <c r="W63" s="72" t="s">
        <v>212</v>
      </c>
      <c r="X63" s="67">
        <v>249</v>
      </c>
      <c r="Y63" s="67">
        <v>238</v>
      </c>
      <c r="Z63" s="67">
        <v>225</v>
      </c>
      <c r="AA63" s="67">
        <v>210</v>
      </c>
      <c r="AB63" s="86">
        <v>193</v>
      </c>
      <c r="AC63" s="69">
        <v>175</v>
      </c>
      <c r="AD63" s="69">
        <v>157</v>
      </c>
      <c r="AE63" s="69">
        <v>139</v>
      </c>
      <c r="AF63" s="70">
        <v>121</v>
      </c>
      <c r="AG63" s="70">
        <v>103</v>
      </c>
      <c r="AH63" s="85">
        <v>85</v>
      </c>
      <c r="AI63" s="70">
        <v>67</v>
      </c>
      <c r="AJ63" s="83">
        <v>50</v>
      </c>
      <c r="AK63" s="71">
        <v>35</v>
      </c>
      <c r="AL63" s="71"/>
      <c r="AM63" s="71">
        <v>22</v>
      </c>
      <c r="AN63" s="71">
        <v>11</v>
      </c>
      <c r="AO63" s="71">
        <v>2</v>
      </c>
      <c r="AS63" s="72" t="s">
        <v>212</v>
      </c>
      <c r="AT63" s="67">
        <f t="shared" ref="AT63:AT69" si="19">BL44</f>
        <v>20</v>
      </c>
      <c r="AU63" s="67">
        <f t="shared" si="10"/>
        <v>30</v>
      </c>
      <c r="AV63" s="67">
        <f t="shared" ref="AV63:AV70" si="20">BI44</f>
        <v>24</v>
      </c>
      <c r="AW63" s="67">
        <f t="shared" si="16"/>
        <v>31</v>
      </c>
      <c r="AX63" s="69">
        <f t="shared" ref="AX63:AX70" si="21">BE44</f>
        <v>33</v>
      </c>
      <c r="AY63" s="69">
        <f t="shared" si="5"/>
        <v>22</v>
      </c>
      <c r="AZ63" s="69">
        <f t="shared" si="8"/>
        <v>31</v>
      </c>
      <c r="BA63" s="69">
        <f t="shared" si="12"/>
        <v>25</v>
      </c>
      <c r="BB63" s="69"/>
      <c r="BC63" s="69"/>
      <c r="BD63" s="70">
        <f t="shared" ref="BD63:BD70" si="22">BL24</f>
        <v>31</v>
      </c>
      <c r="BE63" s="70">
        <f t="shared" si="7"/>
        <v>29</v>
      </c>
      <c r="BF63" s="85">
        <f t="shared" si="9"/>
        <v>28</v>
      </c>
      <c r="BG63" s="70">
        <f t="shared" si="13"/>
        <v>32</v>
      </c>
      <c r="BH63" s="71">
        <f t="shared" si="17"/>
        <v>29</v>
      </c>
      <c r="BI63" s="71">
        <f t="shared" si="14"/>
        <v>34</v>
      </c>
      <c r="BJ63" s="71">
        <f t="shared" si="11"/>
        <v>26</v>
      </c>
      <c r="BK63" s="71">
        <f t="shared" si="15"/>
        <v>36</v>
      </c>
      <c r="BL63" s="71">
        <f t="shared" si="18"/>
        <v>26</v>
      </c>
    </row>
    <row r="64" spans="2:69" ht="15.45" customHeight="1" x14ac:dyDescent="0.25">
      <c r="B64" s="73"/>
      <c r="C64" s="67" t="s">
        <v>221</v>
      </c>
      <c r="D64" s="67" t="s">
        <v>222</v>
      </c>
      <c r="E64" s="67" t="s">
        <v>223</v>
      </c>
      <c r="F64" s="67" t="s">
        <v>224</v>
      </c>
      <c r="G64" s="69" t="s">
        <v>225</v>
      </c>
      <c r="H64" s="69" t="s">
        <v>226</v>
      </c>
      <c r="I64" s="69" t="s">
        <v>227</v>
      </c>
      <c r="J64" s="69" t="s">
        <v>228</v>
      </c>
      <c r="K64" s="70" t="s">
        <v>229</v>
      </c>
      <c r="L64" s="70" t="s">
        <v>230</v>
      </c>
      <c r="M64" s="70" t="s">
        <v>231</v>
      </c>
      <c r="N64" s="71" t="s">
        <v>68</v>
      </c>
      <c r="O64" s="71" t="s">
        <v>61</v>
      </c>
      <c r="P64" s="71" t="s">
        <v>54</v>
      </c>
      <c r="Q64" s="71" t="s">
        <v>232</v>
      </c>
      <c r="R64" s="71" t="s">
        <v>233</v>
      </c>
      <c r="S64" s="71" t="s">
        <v>234</v>
      </c>
      <c r="W64" s="87"/>
      <c r="X64" s="67">
        <v>250</v>
      </c>
      <c r="Y64" s="67">
        <v>239</v>
      </c>
      <c r="Z64" s="67">
        <v>226</v>
      </c>
      <c r="AA64" s="67">
        <v>211</v>
      </c>
      <c r="AB64" s="86">
        <v>194</v>
      </c>
      <c r="AC64" s="69">
        <v>176</v>
      </c>
      <c r="AD64" s="69">
        <v>158</v>
      </c>
      <c r="AE64" s="69">
        <v>140</v>
      </c>
      <c r="AF64" s="70">
        <v>122</v>
      </c>
      <c r="AG64" s="70">
        <v>104</v>
      </c>
      <c r="AH64" s="70">
        <v>86</v>
      </c>
      <c r="AI64" s="88">
        <v>68</v>
      </c>
      <c r="AJ64" s="71">
        <v>51</v>
      </c>
      <c r="AK64" s="71">
        <v>36</v>
      </c>
      <c r="AL64" s="71"/>
      <c r="AM64" s="71">
        <v>23</v>
      </c>
      <c r="AN64" s="71">
        <v>12</v>
      </c>
      <c r="AO64" s="71">
        <v>3</v>
      </c>
      <c r="AS64" s="87"/>
      <c r="AT64" s="67">
        <f t="shared" si="19"/>
        <v>30</v>
      </c>
      <c r="AU64" s="67">
        <f t="shared" si="10"/>
        <v>32</v>
      </c>
      <c r="AV64" s="67">
        <f t="shared" si="20"/>
        <v>23</v>
      </c>
      <c r="AW64" s="67">
        <f t="shared" si="16"/>
        <v>28</v>
      </c>
      <c r="AX64" s="69">
        <f t="shared" si="21"/>
        <v>25</v>
      </c>
      <c r="AY64" s="69">
        <f t="shared" si="5"/>
        <v>21</v>
      </c>
      <c r="AZ64" s="69">
        <f t="shared" si="8"/>
        <v>29</v>
      </c>
      <c r="BA64" s="69">
        <f t="shared" si="12"/>
        <v>32</v>
      </c>
      <c r="BB64" s="69"/>
      <c r="BC64" s="69"/>
      <c r="BD64" s="70">
        <f t="shared" si="22"/>
        <v>32</v>
      </c>
      <c r="BE64" s="70">
        <f t="shared" si="7"/>
        <v>29</v>
      </c>
      <c r="BF64" s="70">
        <f t="shared" si="9"/>
        <v>25</v>
      </c>
      <c r="BG64" s="71">
        <f t="shared" si="13"/>
        <v>34</v>
      </c>
      <c r="BH64" s="71">
        <f t="shared" si="17"/>
        <v>25</v>
      </c>
      <c r="BI64" s="71">
        <f t="shared" si="14"/>
        <v>28</v>
      </c>
      <c r="BJ64" s="71">
        <f t="shared" si="11"/>
        <v>35</v>
      </c>
      <c r="BK64" s="71">
        <f t="shared" si="15"/>
        <v>36</v>
      </c>
      <c r="BL64" s="71">
        <f t="shared" si="18"/>
        <v>26</v>
      </c>
    </row>
    <row r="65" spans="2:64" ht="15.45" customHeight="1" x14ac:dyDescent="0.25">
      <c r="B65" s="73" t="s">
        <v>213</v>
      </c>
      <c r="C65" s="67" t="s">
        <v>235</v>
      </c>
      <c r="D65" s="67" t="s">
        <v>236</v>
      </c>
      <c r="E65" s="67" t="s">
        <v>237</v>
      </c>
      <c r="F65" s="67" t="s">
        <v>238</v>
      </c>
      <c r="G65" s="69" t="s">
        <v>239</v>
      </c>
      <c r="H65" s="69" t="s">
        <v>240</v>
      </c>
      <c r="I65" s="69" t="s">
        <v>241</v>
      </c>
      <c r="J65" s="69" t="s">
        <v>242</v>
      </c>
      <c r="K65" s="70" t="s">
        <v>243</v>
      </c>
      <c r="L65" s="70" t="s">
        <v>244</v>
      </c>
      <c r="M65" s="70" t="s">
        <v>245</v>
      </c>
      <c r="N65" s="71" t="s">
        <v>246</v>
      </c>
      <c r="O65" s="71" t="s">
        <v>247</v>
      </c>
      <c r="P65" s="71" t="s">
        <v>248</v>
      </c>
      <c r="Q65" s="71" t="s">
        <v>249</v>
      </c>
      <c r="R65" s="71" t="s">
        <v>250</v>
      </c>
      <c r="S65" s="71" t="s">
        <v>251</v>
      </c>
      <c r="W65" s="73" t="s">
        <v>213</v>
      </c>
      <c r="X65" s="67">
        <v>251</v>
      </c>
      <c r="Y65" s="67">
        <v>240</v>
      </c>
      <c r="Z65" s="67">
        <v>227</v>
      </c>
      <c r="AA65" s="67">
        <v>212</v>
      </c>
      <c r="AB65" s="86">
        <v>195</v>
      </c>
      <c r="AC65" s="69">
        <v>177</v>
      </c>
      <c r="AD65" s="69">
        <v>159</v>
      </c>
      <c r="AE65" s="69">
        <v>141</v>
      </c>
      <c r="AF65" s="70">
        <v>123</v>
      </c>
      <c r="AG65" s="70">
        <v>105</v>
      </c>
      <c r="AH65" s="85">
        <v>87</v>
      </c>
      <c r="AI65" s="88">
        <v>69</v>
      </c>
      <c r="AJ65" s="83">
        <v>52</v>
      </c>
      <c r="AK65" s="71">
        <v>37</v>
      </c>
      <c r="AL65" s="71"/>
      <c r="AM65" s="71">
        <v>24</v>
      </c>
      <c r="AN65" s="71">
        <v>13</v>
      </c>
      <c r="AO65" s="71">
        <v>4</v>
      </c>
      <c r="AS65" s="73" t="s">
        <v>213</v>
      </c>
      <c r="AT65" s="67">
        <f t="shared" si="19"/>
        <v>19</v>
      </c>
      <c r="AU65" s="67">
        <f t="shared" si="10"/>
        <v>23</v>
      </c>
      <c r="AV65" s="67">
        <f t="shared" si="20"/>
        <v>32</v>
      </c>
      <c r="AW65" s="67">
        <f t="shared" si="16"/>
        <v>22</v>
      </c>
      <c r="AX65" s="69">
        <f t="shared" si="21"/>
        <v>27</v>
      </c>
      <c r="AY65" s="69">
        <f t="shared" ref="AY65:AY72" si="23">BK34</f>
        <v>31</v>
      </c>
      <c r="AZ65" s="69">
        <f t="shared" si="8"/>
        <v>23</v>
      </c>
      <c r="BA65" s="69">
        <f t="shared" si="12"/>
        <v>32</v>
      </c>
      <c r="BB65" s="69"/>
      <c r="BC65" s="69"/>
      <c r="BD65" s="70">
        <f t="shared" si="22"/>
        <v>28</v>
      </c>
      <c r="BE65" s="70">
        <f t="shared" ref="BE65:BE72" si="24">BJ24</f>
        <v>24</v>
      </c>
      <c r="BF65" s="85">
        <f t="shared" si="9"/>
        <v>30</v>
      </c>
      <c r="BG65" s="71">
        <f t="shared" si="13"/>
        <v>36</v>
      </c>
      <c r="BH65" s="71">
        <f t="shared" si="17"/>
        <v>27</v>
      </c>
      <c r="BI65" s="71">
        <f t="shared" si="14"/>
        <v>33</v>
      </c>
      <c r="BJ65" s="71">
        <f t="shared" si="11"/>
        <v>26</v>
      </c>
      <c r="BK65" s="71">
        <f t="shared" si="15"/>
        <v>36</v>
      </c>
      <c r="BL65" s="71">
        <f t="shared" si="18"/>
        <v>36</v>
      </c>
    </row>
    <row r="66" spans="2:64" ht="15.45" customHeight="1" x14ac:dyDescent="0.25">
      <c r="B66" s="73"/>
      <c r="C66" s="74" t="s">
        <v>252</v>
      </c>
      <c r="D66" s="75" t="s">
        <v>253</v>
      </c>
      <c r="E66" s="74" t="s">
        <v>254</v>
      </c>
      <c r="F66" s="75" t="s">
        <v>255</v>
      </c>
      <c r="G66" s="76" t="s">
        <v>256</v>
      </c>
      <c r="H66" s="76" t="s">
        <v>257</v>
      </c>
      <c r="I66" s="76" t="s">
        <v>258</v>
      </c>
      <c r="J66" s="76" t="s">
        <v>259</v>
      </c>
      <c r="K66" s="77" t="s">
        <v>260</v>
      </c>
      <c r="L66" s="77" t="s">
        <v>261</v>
      </c>
      <c r="M66" s="77" t="s">
        <v>262</v>
      </c>
      <c r="N66" s="78" t="s">
        <v>263</v>
      </c>
      <c r="O66" s="78" t="s">
        <v>264</v>
      </c>
      <c r="P66" s="78" t="s">
        <v>265</v>
      </c>
      <c r="Q66" s="78" t="s">
        <v>266</v>
      </c>
      <c r="R66" s="78" t="s">
        <v>267</v>
      </c>
      <c r="S66" s="78" t="s">
        <v>268</v>
      </c>
      <c r="W66" s="73"/>
      <c r="X66" s="74">
        <v>252</v>
      </c>
      <c r="Y66" s="75">
        <v>241</v>
      </c>
      <c r="Z66" s="74">
        <v>228</v>
      </c>
      <c r="AA66" s="75">
        <v>213</v>
      </c>
      <c r="AB66" s="76">
        <v>196</v>
      </c>
      <c r="AC66" s="76">
        <v>178</v>
      </c>
      <c r="AD66" s="76">
        <v>160</v>
      </c>
      <c r="AE66" s="76">
        <v>142</v>
      </c>
      <c r="AF66" s="77">
        <v>124</v>
      </c>
      <c r="AG66" s="77">
        <v>106</v>
      </c>
      <c r="AH66" s="77">
        <v>88</v>
      </c>
      <c r="AI66" s="78">
        <v>70</v>
      </c>
      <c r="AJ66" s="78">
        <v>53</v>
      </c>
      <c r="AK66" s="78">
        <v>38</v>
      </c>
      <c r="AL66" s="78"/>
      <c r="AM66" s="78">
        <v>25</v>
      </c>
      <c r="AN66" s="78">
        <v>14</v>
      </c>
      <c r="AO66" s="78">
        <v>5</v>
      </c>
      <c r="AS66" s="73"/>
      <c r="AT66" s="74">
        <f t="shared" si="19"/>
        <v>24</v>
      </c>
      <c r="AU66" s="75">
        <f t="shared" ref="AU66:AU71" si="25">BK44</f>
        <v>22</v>
      </c>
      <c r="AV66" s="74">
        <f t="shared" si="20"/>
        <v>30</v>
      </c>
      <c r="AW66" s="75">
        <f t="shared" si="16"/>
        <v>27</v>
      </c>
      <c r="AX66" s="76">
        <f t="shared" si="21"/>
        <v>31</v>
      </c>
      <c r="AY66" s="76">
        <f t="shared" si="23"/>
        <v>32</v>
      </c>
      <c r="AZ66" s="76">
        <f t="shared" si="8"/>
        <v>25</v>
      </c>
      <c r="BA66" s="76">
        <f t="shared" si="12"/>
        <v>31</v>
      </c>
      <c r="BB66" s="76"/>
      <c r="BC66" s="76"/>
      <c r="BD66" s="77">
        <f t="shared" si="22"/>
        <v>22</v>
      </c>
      <c r="BE66" s="77">
        <f t="shared" si="24"/>
        <v>32</v>
      </c>
      <c r="BF66" s="77">
        <f t="shared" si="9"/>
        <v>33</v>
      </c>
      <c r="BG66" s="78">
        <f t="shared" si="13"/>
        <v>35</v>
      </c>
      <c r="BH66" s="78">
        <f t="shared" si="17"/>
        <v>35</v>
      </c>
      <c r="BI66" s="78">
        <f t="shared" si="14"/>
        <v>33</v>
      </c>
      <c r="BJ66" s="78">
        <f t="shared" ref="BJ66:BJ71" si="26">BH14</f>
        <v>33</v>
      </c>
      <c r="BK66" s="78">
        <f t="shared" si="15"/>
        <v>26</v>
      </c>
      <c r="BL66" s="78">
        <f t="shared" si="18"/>
        <v>31</v>
      </c>
    </row>
    <row r="67" spans="2:64" ht="15.45" customHeight="1" x14ac:dyDescent="0.25">
      <c r="B67" s="73" t="s">
        <v>213</v>
      </c>
      <c r="C67" s="74" t="s">
        <v>269</v>
      </c>
      <c r="D67" s="75" t="s">
        <v>270</v>
      </c>
      <c r="E67" s="74" t="s">
        <v>271</v>
      </c>
      <c r="F67" s="75" t="s">
        <v>272</v>
      </c>
      <c r="G67" s="76" t="s">
        <v>273</v>
      </c>
      <c r="H67" s="76" t="s">
        <v>274</v>
      </c>
      <c r="I67" s="76" t="s">
        <v>275</v>
      </c>
      <c r="J67" s="76" t="s">
        <v>276</v>
      </c>
      <c r="K67" s="77" t="s">
        <v>277</v>
      </c>
      <c r="L67" s="77" t="s">
        <v>278</v>
      </c>
      <c r="M67" s="77" t="s">
        <v>279</v>
      </c>
      <c r="N67" s="78" t="s">
        <v>25</v>
      </c>
      <c r="O67" s="78" t="s">
        <v>24</v>
      </c>
      <c r="P67" s="78" t="s">
        <v>23</v>
      </c>
      <c r="Q67" s="78" t="s">
        <v>280</v>
      </c>
      <c r="R67" s="78" t="s">
        <v>281</v>
      </c>
      <c r="S67" s="78" t="s">
        <v>282</v>
      </c>
      <c r="W67" s="73" t="s">
        <v>213</v>
      </c>
      <c r="X67" s="74">
        <v>253</v>
      </c>
      <c r="Y67" s="75">
        <v>242</v>
      </c>
      <c r="Z67" s="74">
        <v>229</v>
      </c>
      <c r="AA67" s="75">
        <v>214</v>
      </c>
      <c r="AB67" s="76">
        <v>197</v>
      </c>
      <c r="AC67" s="76">
        <v>179</v>
      </c>
      <c r="AD67" s="76">
        <v>161</v>
      </c>
      <c r="AE67" s="76">
        <v>143</v>
      </c>
      <c r="AF67" s="77">
        <v>125</v>
      </c>
      <c r="AG67" s="77">
        <v>107</v>
      </c>
      <c r="AH67" s="77">
        <v>89</v>
      </c>
      <c r="AI67" s="78">
        <v>71</v>
      </c>
      <c r="AJ67" s="78">
        <v>54</v>
      </c>
      <c r="AK67" s="78">
        <v>39</v>
      </c>
      <c r="AL67" s="78"/>
      <c r="AM67" s="78">
        <v>26</v>
      </c>
      <c r="AN67" s="78">
        <v>15</v>
      </c>
      <c r="AO67" s="78">
        <v>6</v>
      </c>
      <c r="AS67" s="73" t="s">
        <v>213</v>
      </c>
      <c r="AT67" s="74">
        <f t="shared" si="19"/>
        <v>30</v>
      </c>
      <c r="AU67" s="75">
        <f t="shared" si="25"/>
        <v>31</v>
      </c>
      <c r="AV67" s="74">
        <f t="shared" si="20"/>
        <v>26</v>
      </c>
      <c r="AW67" s="75">
        <f t="shared" si="16"/>
        <v>22</v>
      </c>
      <c r="AX67" s="76">
        <f t="shared" si="21"/>
        <v>32</v>
      </c>
      <c r="AY67" s="76">
        <f t="shared" si="23"/>
        <v>23</v>
      </c>
      <c r="AZ67" s="76">
        <f t="shared" ref="AZ67:AZ74" si="27">BI34</f>
        <v>30</v>
      </c>
      <c r="BA67" s="76">
        <f t="shared" si="12"/>
        <v>31</v>
      </c>
      <c r="BB67" s="76"/>
      <c r="BC67" s="76"/>
      <c r="BD67" s="77">
        <f t="shared" si="22"/>
        <v>30</v>
      </c>
      <c r="BE67" s="77">
        <f t="shared" si="24"/>
        <v>28</v>
      </c>
      <c r="BF67" s="77">
        <f t="shared" ref="BF67:BF74" si="28">BH24</f>
        <v>30</v>
      </c>
      <c r="BG67" s="78">
        <f t="shared" si="13"/>
        <v>36</v>
      </c>
      <c r="BH67" s="78">
        <f t="shared" si="17"/>
        <v>23</v>
      </c>
      <c r="BI67" s="78">
        <f t="shared" si="14"/>
        <v>34</v>
      </c>
      <c r="BJ67" s="78">
        <f t="shared" si="26"/>
        <v>34</v>
      </c>
      <c r="BK67" s="78">
        <f t="shared" si="15"/>
        <v>27</v>
      </c>
      <c r="BL67" s="78">
        <f t="shared" si="18"/>
        <v>23</v>
      </c>
    </row>
    <row r="68" spans="2:64" ht="15.45" customHeight="1" x14ac:dyDescent="0.25">
      <c r="B68" s="79" t="s">
        <v>214</v>
      </c>
      <c r="C68" s="74" t="s">
        <v>67</v>
      </c>
      <c r="D68" s="75" t="s">
        <v>60</v>
      </c>
      <c r="E68" s="74" t="s">
        <v>53</v>
      </c>
      <c r="F68" s="75" t="s">
        <v>283</v>
      </c>
      <c r="G68" s="76" t="s">
        <v>66</v>
      </c>
      <c r="H68" s="76" t="s">
        <v>59</v>
      </c>
      <c r="I68" s="76" t="s">
        <v>52</v>
      </c>
      <c r="J68" s="76" t="s">
        <v>284</v>
      </c>
      <c r="K68" s="77" t="s">
        <v>285</v>
      </c>
      <c r="L68" s="77" t="s">
        <v>286</v>
      </c>
      <c r="M68" s="77" t="s">
        <v>287</v>
      </c>
      <c r="N68" s="77" t="s">
        <v>51</v>
      </c>
      <c r="O68" s="78" t="s">
        <v>30</v>
      </c>
      <c r="P68" s="78" t="s">
        <v>29</v>
      </c>
      <c r="Q68" s="78" t="s">
        <v>28</v>
      </c>
      <c r="R68" s="78" t="s">
        <v>27</v>
      </c>
      <c r="S68" s="78" t="s">
        <v>26</v>
      </c>
      <c r="W68" s="79" t="s">
        <v>214</v>
      </c>
      <c r="X68" s="74">
        <v>254</v>
      </c>
      <c r="Y68" s="75">
        <v>243</v>
      </c>
      <c r="Z68" s="74">
        <v>230</v>
      </c>
      <c r="AA68" s="75">
        <v>215</v>
      </c>
      <c r="AB68" s="76">
        <v>198</v>
      </c>
      <c r="AC68" s="76">
        <v>180</v>
      </c>
      <c r="AD68" s="76">
        <v>162</v>
      </c>
      <c r="AE68" s="76">
        <v>144</v>
      </c>
      <c r="AF68" s="77">
        <v>126</v>
      </c>
      <c r="AG68" s="77">
        <v>108</v>
      </c>
      <c r="AH68" s="77">
        <v>90</v>
      </c>
      <c r="AI68" s="77">
        <v>72</v>
      </c>
      <c r="AJ68" s="78">
        <v>55</v>
      </c>
      <c r="AK68" s="78">
        <v>40</v>
      </c>
      <c r="AL68" s="78"/>
      <c r="AM68" s="78">
        <v>27</v>
      </c>
      <c r="AN68" s="78">
        <v>16</v>
      </c>
      <c r="AO68" s="78">
        <v>7</v>
      </c>
      <c r="AS68" s="79" t="s">
        <v>214</v>
      </c>
      <c r="AT68" s="74">
        <f t="shared" si="19"/>
        <v>22</v>
      </c>
      <c r="AU68" s="75">
        <f t="shared" si="25"/>
        <v>30</v>
      </c>
      <c r="AV68" s="74">
        <f t="shared" si="20"/>
        <v>34</v>
      </c>
      <c r="AW68" s="75">
        <f t="shared" si="16"/>
        <v>22</v>
      </c>
      <c r="AX68" s="76">
        <f t="shared" si="21"/>
        <v>32</v>
      </c>
      <c r="AY68" s="76">
        <f t="shared" si="23"/>
        <v>34</v>
      </c>
      <c r="AZ68" s="76">
        <f t="shared" si="27"/>
        <v>31</v>
      </c>
      <c r="BA68" s="76">
        <f t="shared" si="12"/>
        <v>32</v>
      </c>
      <c r="BB68" s="76"/>
      <c r="BC68" s="76"/>
      <c r="BD68" s="77">
        <f t="shared" si="22"/>
        <v>25</v>
      </c>
      <c r="BE68" s="77">
        <f t="shared" si="24"/>
        <v>21</v>
      </c>
      <c r="BF68" s="77">
        <f t="shared" si="28"/>
        <v>28</v>
      </c>
      <c r="BG68" s="77">
        <f t="shared" si="13"/>
        <v>38</v>
      </c>
      <c r="BH68" s="78">
        <f t="shared" si="17"/>
        <v>32</v>
      </c>
      <c r="BI68" s="78">
        <f t="shared" si="14"/>
        <v>35</v>
      </c>
      <c r="BJ68" s="78">
        <f t="shared" si="26"/>
        <v>34</v>
      </c>
      <c r="BK68" s="78">
        <f t="shared" si="15"/>
        <v>32</v>
      </c>
      <c r="BL68" s="78">
        <f t="shared" si="18"/>
        <v>34</v>
      </c>
    </row>
    <row r="69" spans="2:64" ht="15.45" customHeight="1" x14ac:dyDescent="0.25">
      <c r="B69" s="80" t="s">
        <v>215</v>
      </c>
      <c r="C69" s="75" t="s">
        <v>102</v>
      </c>
      <c r="D69" s="75" t="s">
        <v>95</v>
      </c>
      <c r="E69" s="75" t="s">
        <v>88</v>
      </c>
      <c r="F69" s="75" t="s">
        <v>81</v>
      </c>
      <c r="G69" s="75" t="s">
        <v>74</v>
      </c>
      <c r="H69" s="76" t="s">
        <v>87</v>
      </c>
      <c r="I69" s="76" t="s">
        <v>80</v>
      </c>
      <c r="J69" s="76" t="s">
        <v>73</v>
      </c>
      <c r="K69" s="77" t="s">
        <v>58</v>
      </c>
      <c r="L69" s="77" t="s">
        <v>65</v>
      </c>
      <c r="M69" s="77" t="s">
        <v>72</v>
      </c>
      <c r="N69" s="77" t="s">
        <v>79</v>
      </c>
      <c r="O69" s="78" t="s">
        <v>35</v>
      </c>
      <c r="P69" s="78" t="s">
        <v>34</v>
      </c>
      <c r="Q69" s="78" t="s">
        <v>33</v>
      </c>
      <c r="R69" s="78" t="s">
        <v>32</v>
      </c>
      <c r="S69" s="78" t="s">
        <v>31</v>
      </c>
      <c r="W69" s="80" t="s">
        <v>215</v>
      </c>
      <c r="X69" s="74">
        <v>255</v>
      </c>
      <c r="Y69" s="75">
        <v>244</v>
      </c>
      <c r="Z69" s="74">
        <v>231</v>
      </c>
      <c r="AA69" s="75">
        <v>216</v>
      </c>
      <c r="AB69" s="75">
        <v>199</v>
      </c>
      <c r="AC69" s="76">
        <v>181</v>
      </c>
      <c r="AD69" s="76">
        <v>163</v>
      </c>
      <c r="AE69" s="76">
        <v>145</v>
      </c>
      <c r="AF69" s="77">
        <v>127</v>
      </c>
      <c r="AG69" s="77">
        <v>109</v>
      </c>
      <c r="AH69" s="77">
        <v>91</v>
      </c>
      <c r="AI69" s="77">
        <v>73</v>
      </c>
      <c r="AJ69" s="78">
        <v>56</v>
      </c>
      <c r="AK69" s="78">
        <v>41</v>
      </c>
      <c r="AL69" s="78"/>
      <c r="AM69" s="78">
        <v>28</v>
      </c>
      <c r="AN69" s="78">
        <v>17</v>
      </c>
      <c r="AO69" s="78">
        <v>8</v>
      </c>
      <c r="AS69" s="80" t="s">
        <v>215</v>
      </c>
      <c r="AT69" s="74">
        <f t="shared" si="19"/>
        <v>29</v>
      </c>
      <c r="AU69" s="75">
        <f t="shared" si="25"/>
        <v>23</v>
      </c>
      <c r="AV69" s="74">
        <f t="shared" si="20"/>
        <v>33</v>
      </c>
      <c r="AW69" s="75">
        <f t="shared" si="16"/>
        <v>33</v>
      </c>
      <c r="AX69" s="75">
        <f t="shared" si="21"/>
        <v>33</v>
      </c>
      <c r="AY69" s="76">
        <f t="shared" si="23"/>
        <v>23</v>
      </c>
      <c r="AZ69" s="76">
        <f t="shared" si="27"/>
        <v>35</v>
      </c>
      <c r="BA69" s="76">
        <f t="shared" ref="BA69:BA74" si="29">BG34</f>
        <v>32</v>
      </c>
      <c r="BB69" s="76"/>
      <c r="BC69" s="76"/>
      <c r="BD69" s="77">
        <f t="shared" si="22"/>
        <v>40</v>
      </c>
      <c r="BE69" s="77">
        <f t="shared" si="24"/>
        <v>37</v>
      </c>
      <c r="BF69" s="77">
        <f t="shared" si="28"/>
        <v>38</v>
      </c>
      <c r="BG69" s="77">
        <f t="shared" ref="BG69:BG74" si="30">BF24</f>
        <v>43</v>
      </c>
      <c r="BH69" s="78">
        <f t="shared" si="17"/>
        <v>24</v>
      </c>
      <c r="BI69" s="78">
        <f>BJ14</f>
        <v>31</v>
      </c>
      <c r="BJ69" s="78">
        <f t="shared" si="26"/>
        <v>22</v>
      </c>
      <c r="BK69" s="78">
        <f>BG14</f>
        <v>26</v>
      </c>
      <c r="BL69" s="78">
        <f t="shared" si="18"/>
        <v>25</v>
      </c>
    </row>
    <row r="70" spans="2:64" ht="15.45" customHeight="1" x14ac:dyDescent="0.25">
      <c r="C70" s="75" t="s">
        <v>137</v>
      </c>
      <c r="D70" s="75" t="s">
        <v>130</v>
      </c>
      <c r="E70" s="75" t="s">
        <v>123</v>
      </c>
      <c r="F70" s="75" t="s">
        <v>116</v>
      </c>
      <c r="G70" s="75" t="s">
        <v>109</v>
      </c>
      <c r="H70" s="76" t="s">
        <v>108</v>
      </c>
      <c r="I70" s="76" t="s">
        <v>101</v>
      </c>
      <c r="J70" s="76" t="s">
        <v>94</v>
      </c>
      <c r="K70" s="77" t="s">
        <v>86</v>
      </c>
      <c r="L70" s="77" t="s">
        <v>93</v>
      </c>
      <c r="M70" s="77" t="s">
        <v>100</v>
      </c>
      <c r="N70" s="77" t="s">
        <v>107</v>
      </c>
      <c r="O70" s="81" t="s">
        <v>39</v>
      </c>
      <c r="P70" s="81" t="s">
        <v>38</v>
      </c>
      <c r="Q70" s="81" t="s">
        <v>37</v>
      </c>
      <c r="R70" s="81" t="s">
        <v>36</v>
      </c>
      <c r="S70" s="20"/>
      <c r="X70" s="74">
        <v>256</v>
      </c>
      <c r="Y70" s="75">
        <v>245</v>
      </c>
      <c r="Z70" s="74">
        <v>232</v>
      </c>
      <c r="AA70" s="75">
        <v>217</v>
      </c>
      <c r="AB70" s="75">
        <v>200</v>
      </c>
      <c r="AC70" s="76">
        <v>182</v>
      </c>
      <c r="AD70" s="76">
        <v>164</v>
      </c>
      <c r="AE70" s="76">
        <v>146</v>
      </c>
      <c r="AF70" s="77">
        <v>128</v>
      </c>
      <c r="AG70" s="77">
        <v>110</v>
      </c>
      <c r="AH70" s="77">
        <v>92</v>
      </c>
      <c r="AI70" s="77">
        <v>74</v>
      </c>
      <c r="AJ70" s="78">
        <v>57</v>
      </c>
      <c r="AK70" s="78">
        <v>42</v>
      </c>
      <c r="AL70" s="78"/>
      <c r="AM70" s="78">
        <v>29</v>
      </c>
      <c r="AN70" s="78">
        <v>18</v>
      </c>
      <c r="AO70" s="20"/>
      <c r="AT70" s="74">
        <f>BL29</f>
        <v>25</v>
      </c>
      <c r="AU70" s="75">
        <f t="shared" si="25"/>
        <v>23</v>
      </c>
      <c r="AV70" s="74">
        <f t="shared" si="20"/>
        <v>22</v>
      </c>
      <c r="AW70" s="75">
        <f>BH44</f>
        <v>24</v>
      </c>
      <c r="AX70" s="75">
        <f t="shared" si="21"/>
        <v>28</v>
      </c>
      <c r="AY70" s="76">
        <f t="shared" si="23"/>
        <v>20</v>
      </c>
      <c r="AZ70" s="76">
        <f t="shared" si="27"/>
        <v>26</v>
      </c>
      <c r="BA70" s="76">
        <f t="shared" si="29"/>
        <v>23</v>
      </c>
      <c r="BB70" s="76"/>
      <c r="BC70" s="76"/>
      <c r="BD70" s="77">
        <f t="shared" si="22"/>
        <v>39</v>
      </c>
      <c r="BE70" s="77">
        <f t="shared" si="24"/>
        <v>32</v>
      </c>
      <c r="BF70" s="77">
        <f t="shared" si="28"/>
        <v>22</v>
      </c>
      <c r="BG70" s="77">
        <f t="shared" si="30"/>
        <v>36</v>
      </c>
      <c r="BH70" s="78">
        <f>BL14</f>
        <v>34</v>
      </c>
      <c r="BI70" s="78">
        <f>BJ15</f>
        <v>26</v>
      </c>
      <c r="BJ70" s="78">
        <f t="shared" si="26"/>
        <v>27</v>
      </c>
      <c r="BK70" s="78">
        <f>BG15</f>
        <v>33</v>
      </c>
      <c r="BL70" s="20"/>
    </row>
    <row r="71" spans="2:64" ht="15.45" customHeight="1" x14ac:dyDescent="0.25">
      <c r="D71" s="75" t="s">
        <v>164</v>
      </c>
      <c r="E71" s="75" t="s">
        <v>157</v>
      </c>
      <c r="F71" s="75" t="s">
        <v>150</v>
      </c>
      <c r="G71" s="75" t="s">
        <v>144</v>
      </c>
      <c r="H71" s="76" t="s">
        <v>129</v>
      </c>
      <c r="I71" s="76" t="s">
        <v>122</v>
      </c>
      <c r="J71" s="76" t="s">
        <v>115</v>
      </c>
      <c r="K71" s="77" t="s">
        <v>114</v>
      </c>
      <c r="L71" s="77" t="s">
        <v>121</v>
      </c>
      <c r="M71" s="77" t="s">
        <v>128</v>
      </c>
      <c r="N71" s="77" t="s">
        <v>135</v>
      </c>
      <c r="O71" s="78" t="s">
        <v>42</v>
      </c>
      <c r="P71" s="82" t="s">
        <v>41</v>
      </c>
      <c r="Q71" s="78" t="s">
        <v>40</v>
      </c>
      <c r="R71" s="20"/>
      <c r="S71" s="17"/>
      <c r="Y71" s="75">
        <v>246</v>
      </c>
      <c r="Z71" s="74">
        <v>233</v>
      </c>
      <c r="AA71" s="75">
        <v>218</v>
      </c>
      <c r="AB71" s="75">
        <v>201</v>
      </c>
      <c r="AC71" s="76">
        <v>183</v>
      </c>
      <c r="AD71" s="76">
        <v>165</v>
      </c>
      <c r="AE71" s="76">
        <v>147</v>
      </c>
      <c r="AF71" s="77">
        <v>129</v>
      </c>
      <c r="AG71" s="77">
        <v>111</v>
      </c>
      <c r="AH71" s="77">
        <v>93</v>
      </c>
      <c r="AI71" s="77">
        <v>75</v>
      </c>
      <c r="AJ71" s="78">
        <v>58</v>
      </c>
      <c r="AK71" s="78">
        <v>43</v>
      </c>
      <c r="AL71" s="78"/>
      <c r="AM71" s="78">
        <v>30</v>
      </c>
      <c r="AN71" s="20"/>
      <c r="AO71" s="17"/>
      <c r="AU71" s="75">
        <f t="shared" si="25"/>
        <v>30</v>
      </c>
      <c r="AV71" s="74">
        <f>BJ44</f>
        <v>28</v>
      </c>
      <c r="AW71" s="75">
        <f>BH45</f>
        <v>23</v>
      </c>
      <c r="AX71" s="75">
        <f>BF44</f>
        <v>23</v>
      </c>
      <c r="AY71" s="76">
        <f t="shared" si="23"/>
        <v>32</v>
      </c>
      <c r="AZ71" s="76">
        <f t="shared" si="27"/>
        <v>24</v>
      </c>
      <c r="BA71" s="76">
        <f t="shared" si="29"/>
        <v>27</v>
      </c>
      <c r="BB71" s="76"/>
      <c r="BC71" s="76"/>
      <c r="BD71" s="77">
        <f>BE34</f>
        <v>44</v>
      </c>
      <c r="BE71" s="77">
        <f t="shared" si="24"/>
        <v>32</v>
      </c>
      <c r="BF71" s="77">
        <f t="shared" si="28"/>
        <v>26</v>
      </c>
      <c r="BG71" s="77">
        <f t="shared" si="30"/>
        <v>30</v>
      </c>
      <c r="BH71" s="78">
        <f>BL15</f>
        <v>27</v>
      </c>
      <c r="BI71" s="78">
        <f>BJ16</f>
        <v>33</v>
      </c>
      <c r="BJ71" s="78">
        <f t="shared" si="26"/>
        <v>26</v>
      </c>
      <c r="BK71" s="20"/>
      <c r="BL71" s="17"/>
    </row>
    <row r="72" spans="2:64" ht="15.45" customHeight="1" x14ac:dyDescent="0.25">
      <c r="B72" s="65"/>
      <c r="D72" s="17"/>
      <c r="E72" s="74" t="s">
        <v>185</v>
      </c>
      <c r="F72" s="75" t="s">
        <v>178</v>
      </c>
      <c r="G72" s="75" t="s">
        <v>171</v>
      </c>
      <c r="H72" s="76" t="s">
        <v>149</v>
      </c>
      <c r="I72" s="76" t="s">
        <v>143</v>
      </c>
      <c r="J72" s="76" t="s">
        <v>136</v>
      </c>
      <c r="K72" s="77" t="s">
        <v>142</v>
      </c>
      <c r="L72" s="77" t="s">
        <v>148</v>
      </c>
      <c r="M72" s="77" t="s">
        <v>155</v>
      </c>
      <c r="N72" s="77" t="s">
        <v>162</v>
      </c>
      <c r="O72" s="78" t="s">
        <v>44</v>
      </c>
      <c r="P72" s="82" t="s">
        <v>43</v>
      </c>
      <c r="R72" s="17"/>
      <c r="S72" s="65"/>
      <c r="W72" s="65"/>
      <c r="Y72" s="17"/>
      <c r="Z72" s="74">
        <v>234</v>
      </c>
      <c r="AA72" s="75">
        <v>219</v>
      </c>
      <c r="AB72" s="75">
        <v>202</v>
      </c>
      <c r="AC72" s="76">
        <v>184</v>
      </c>
      <c r="AD72" s="76">
        <v>166</v>
      </c>
      <c r="AE72" s="76">
        <v>148</v>
      </c>
      <c r="AF72" s="77">
        <v>130</v>
      </c>
      <c r="AG72" s="77">
        <v>112</v>
      </c>
      <c r="AH72" s="77">
        <v>94</v>
      </c>
      <c r="AI72" s="77">
        <v>76</v>
      </c>
      <c r="AJ72" s="78">
        <v>59</v>
      </c>
      <c r="AK72" s="78">
        <v>44</v>
      </c>
      <c r="AL72" s="40"/>
      <c r="AN72" s="17"/>
      <c r="AO72" s="65"/>
      <c r="AS72" s="65"/>
      <c r="AU72" s="17"/>
      <c r="AV72" s="74">
        <f>BJ45</f>
        <v>27</v>
      </c>
      <c r="AW72" s="75">
        <f>BH46</f>
        <v>30</v>
      </c>
      <c r="AX72" s="75">
        <f>BF45</f>
        <v>31</v>
      </c>
      <c r="AY72" s="76">
        <f t="shared" si="23"/>
        <v>25</v>
      </c>
      <c r="AZ72" s="76">
        <f t="shared" si="27"/>
        <v>28</v>
      </c>
      <c r="BA72" s="76">
        <f t="shared" si="29"/>
        <v>30</v>
      </c>
      <c r="BB72" s="76"/>
      <c r="BC72" s="76"/>
      <c r="BD72" s="77">
        <f>BE35</f>
        <v>34</v>
      </c>
      <c r="BE72" s="77">
        <f t="shared" si="24"/>
        <v>23</v>
      </c>
      <c r="BF72" s="77">
        <f t="shared" si="28"/>
        <v>36</v>
      </c>
      <c r="BG72" s="77">
        <f t="shared" si="30"/>
        <v>22</v>
      </c>
      <c r="BH72" s="78">
        <f>BL16</f>
        <v>30</v>
      </c>
      <c r="BI72" s="78">
        <f>BJ17</f>
        <v>25</v>
      </c>
      <c r="BK72" s="17"/>
      <c r="BL72" s="65"/>
    </row>
    <row r="73" spans="2:64" ht="15.45" customHeight="1" x14ac:dyDescent="0.25">
      <c r="F73" s="75" t="s">
        <v>199</v>
      </c>
      <c r="G73" s="75" t="s">
        <v>192</v>
      </c>
      <c r="H73" s="76" t="s">
        <v>177</v>
      </c>
      <c r="I73" s="76" t="s">
        <v>170</v>
      </c>
      <c r="J73" s="76" t="s">
        <v>163</v>
      </c>
      <c r="K73" s="76" t="s">
        <v>156</v>
      </c>
      <c r="L73" s="77" t="s">
        <v>169</v>
      </c>
      <c r="M73" s="77" t="s">
        <v>176</v>
      </c>
      <c r="N73" s="77" t="s">
        <v>183</v>
      </c>
      <c r="O73" s="78" t="s">
        <v>45</v>
      </c>
      <c r="Q73" s="17"/>
      <c r="R73" s="17"/>
      <c r="S73" s="17"/>
      <c r="AA73" s="75">
        <v>220</v>
      </c>
      <c r="AB73" s="75">
        <v>203</v>
      </c>
      <c r="AC73" s="76">
        <v>185</v>
      </c>
      <c r="AD73" s="76">
        <v>167</v>
      </c>
      <c r="AE73" s="76">
        <v>149</v>
      </c>
      <c r="AF73" s="76">
        <v>131</v>
      </c>
      <c r="AG73" s="77">
        <v>113</v>
      </c>
      <c r="AH73" s="77">
        <v>95</v>
      </c>
      <c r="AI73" s="77">
        <v>77</v>
      </c>
      <c r="AJ73" s="78">
        <v>60</v>
      </c>
      <c r="AM73" s="17"/>
      <c r="AN73" s="17"/>
      <c r="AO73" s="17"/>
      <c r="AW73" s="75">
        <f>BH47</f>
        <v>32</v>
      </c>
      <c r="AX73" s="75">
        <f>BF46</f>
        <v>22</v>
      </c>
      <c r="AY73" s="76">
        <f>BL34</f>
        <v>34</v>
      </c>
      <c r="AZ73" s="76">
        <f t="shared" si="27"/>
        <v>23</v>
      </c>
      <c r="BA73" s="76">
        <f t="shared" si="29"/>
        <v>23</v>
      </c>
      <c r="BB73" s="76"/>
      <c r="BC73" s="76"/>
      <c r="BD73" s="76">
        <f>BE36</f>
        <v>26</v>
      </c>
      <c r="BE73" s="77">
        <f>BK24</f>
        <v>26</v>
      </c>
      <c r="BF73" s="77">
        <f t="shared" si="28"/>
        <v>26</v>
      </c>
      <c r="BG73" s="77">
        <f t="shared" si="30"/>
        <v>30</v>
      </c>
      <c r="BH73" s="78">
        <f>BL17</f>
        <v>36</v>
      </c>
      <c r="BJ73" s="17"/>
      <c r="BK73" s="17"/>
      <c r="BL73" s="17"/>
    </row>
    <row r="74" spans="2:64" ht="15.45" customHeight="1" x14ac:dyDescent="0.25">
      <c r="F74" s="17"/>
      <c r="G74" s="75" t="s">
        <v>206</v>
      </c>
      <c r="H74" s="76" t="s">
        <v>205</v>
      </c>
      <c r="I74" s="76" t="s">
        <v>198</v>
      </c>
      <c r="J74" s="76" t="s">
        <v>191</v>
      </c>
      <c r="K74" s="76" t="s">
        <v>184</v>
      </c>
      <c r="L74" s="77" t="s">
        <v>190</v>
      </c>
      <c r="M74" s="77" t="s">
        <v>197</v>
      </c>
      <c r="N74" s="77" t="s">
        <v>204</v>
      </c>
      <c r="O74" s="20"/>
      <c r="P74" s="17"/>
      <c r="Q74" s="17"/>
      <c r="R74" s="17"/>
      <c r="S74" s="17"/>
      <c r="AA74" s="17"/>
      <c r="AB74" s="75">
        <v>204</v>
      </c>
      <c r="AC74" s="76">
        <v>186</v>
      </c>
      <c r="AD74" s="76">
        <v>168</v>
      </c>
      <c r="AE74" s="76">
        <v>150</v>
      </c>
      <c r="AF74" s="76">
        <v>132</v>
      </c>
      <c r="AG74" s="77">
        <v>114</v>
      </c>
      <c r="AH74" s="77">
        <v>96</v>
      </c>
      <c r="AI74" s="77">
        <v>78</v>
      </c>
      <c r="AJ74" s="20"/>
      <c r="AK74" s="17"/>
      <c r="AL74" s="17"/>
      <c r="AM74" s="17"/>
      <c r="AN74" s="17"/>
      <c r="AO74" s="17"/>
      <c r="AW74" s="17"/>
      <c r="AX74" s="75">
        <f>BF47</f>
        <v>32</v>
      </c>
      <c r="AY74" s="76">
        <f>BL35</f>
        <v>32</v>
      </c>
      <c r="AZ74" s="76">
        <f t="shared" si="27"/>
        <v>22</v>
      </c>
      <c r="BA74" s="76">
        <f t="shared" si="29"/>
        <v>32</v>
      </c>
      <c r="BB74" s="76"/>
      <c r="BC74" s="76"/>
      <c r="BD74" s="76">
        <f>BE37</f>
        <v>23</v>
      </c>
      <c r="BE74" s="77">
        <f>BK25</f>
        <v>33</v>
      </c>
      <c r="BF74" s="77">
        <f t="shared" si="28"/>
        <v>34</v>
      </c>
      <c r="BG74" s="77">
        <f t="shared" si="30"/>
        <v>32</v>
      </c>
      <c r="BH74" s="20"/>
      <c r="BI74" s="17"/>
      <c r="BJ74" s="17"/>
      <c r="BK74" s="17"/>
      <c r="BL74" s="17"/>
    </row>
    <row r="75" spans="2:64" ht="15.45" customHeight="1" x14ac:dyDescent="0.35">
      <c r="H75" s="27" t="s">
        <v>291</v>
      </c>
      <c r="AC75" s="27" t="s">
        <v>291</v>
      </c>
      <c r="AY75" s="27" t="s">
        <v>291</v>
      </c>
    </row>
    <row r="76" spans="2:64" ht="15.45" customHeight="1" x14ac:dyDescent="0.25"/>
    <row r="77" spans="2:64" ht="22.95" customHeight="1" x14ac:dyDescent="0.25">
      <c r="C77" s="114" t="s">
        <v>7</v>
      </c>
      <c r="D77" s="172"/>
      <c r="E77" s="172"/>
      <c r="F77" s="172"/>
      <c r="G77" s="173"/>
      <c r="H77" s="114" t="s">
        <v>13</v>
      </c>
      <c r="I77" s="172"/>
      <c r="J77" s="172"/>
      <c r="K77" s="172"/>
      <c r="L77" s="173"/>
      <c r="M77" s="114" t="s">
        <v>16</v>
      </c>
      <c r="N77" s="115"/>
      <c r="O77" s="115"/>
      <c r="P77" s="115"/>
      <c r="Q77" s="115"/>
      <c r="R77" s="116"/>
      <c r="S77" s="117"/>
      <c r="AI77" s="10"/>
    </row>
    <row r="78" spans="2:64" ht="15.45" customHeight="1" x14ac:dyDescent="0.25">
      <c r="C78" s="193" t="s">
        <v>1</v>
      </c>
      <c r="D78" s="194"/>
      <c r="E78" s="194"/>
      <c r="F78" s="194"/>
      <c r="G78" s="195"/>
      <c r="H78" s="193" t="s">
        <v>14</v>
      </c>
      <c r="I78" s="194"/>
      <c r="J78" s="194"/>
      <c r="K78" s="194"/>
      <c r="L78" s="195"/>
      <c r="M78" s="193" t="s">
        <v>839</v>
      </c>
      <c r="N78" s="194"/>
      <c r="O78" s="194"/>
      <c r="P78" s="194"/>
      <c r="Q78" s="194"/>
      <c r="R78" s="194"/>
      <c r="S78" s="195"/>
    </row>
    <row r="79" spans="2:64" ht="15.45" customHeight="1" x14ac:dyDescent="0.25">
      <c r="C79" s="196"/>
      <c r="D79" s="197"/>
      <c r="E79" s="197"/>
      <c r="F79" s="197"/>
      <c r="G79" s="198"/>
      <c r="H79" s="196"/>
      <c r="I79" s="197"/>
      <c r="J79" s="197"/>
      <c r="K79" s="197"/>
      <c r="L79" s="198"/>
      <c r="M79" s="196"/>
      <c r="N79" s="197"/>
      <c r="O79" s="197"/>
      <c r="P79" s="197"/>
      <c r="Q79" s="197"/>
      <c r="R79" s="197"/>
      <c r="S79" s="198"/>
      <c r="U79" s="188" t="s">
        <v>8</v>
      </c>
      <c r="V79" s="189"/>
      <c r="W79" s="189"/>
      <c r="X79" s="189"/>
      <c r="Y79" s="189"/>
      <c r="Z79" s="189"/>
      <c r="AA79" s="189"/>
      <c r="AB79" s="189"/>
      <c r="AC79" s="189"/>
      <c r="AD79" s="189"/>
    </row>
    <row r="80" spans="2:64" ht="15.45" customHeight="1" x14ac:dyDescent="0.25">
      <c r="C80" s="199" t="s">
        <v>15</v>
      </c>
      <c r="D80" s="190"/>
      <c r="E80" s="190"/>
      <c r="F80" s="190"/>
      <c r="G80" s="200"/>
      <c r="H80" s="199" t="s">
        <v>840</v>
      </c>
      <c r="I80" s="190"/>
      <c r="J80" s="190"/>
      <c r="K80" s="190"/>
      <c r="L80" s="200"/>
      <c r="M80" s="199" t="s">
        <v>841</v>
      </c>
      <c r="N80" s="190"/>
      <c r="O80" s="190"/>
      <c r="P80" s="190"/>
      <c r="Q80" s="190"/>
      <c r="R80" s="191"/>
      <c r="S80" s="192"/>
    </row>
    <row r="81" spans="1:40" ht="15.45" customHeight="1" x14ac:dyDescent="0.25">
      <c r="C81" s="169" t="s">
        <v>2</v>
      </c>
      <c r="D81" s="170"/>
      <c r="E81" s="170"/>
      <c r="F81" s="170"/>
      <c r="G81" s="171"/>
      <c r="H81" s="169" t="s">
        <v>3</v>
      </c>
      <c r="I81" s="170"/>
      <c r="J81" s="170"/>
      <c r="K81" s="170"/>
      <c r="L81" s="171"/>
      <c r="M81" s="182" t="s">
        <v>3</v>
      </c>
      <c r="N81" s="190"/>
      <c r="O81" s="190"/>
      <c r="P81" s="190"/>
      <c r="Q81" s="190"/>
      <c r="R81" s="191"/>
      <c r="S81" s="192"/>
    </row>
    <row r="82" spans="1:40" ht="15.45" customHeight="1" x14ac:dyDescent="0.25">
      <c r="C82" s="182" t="s">
        <v>551</v>
      </c>
      <c r="D82" s="183"/>
      <c r="E82" s="183"/>
      <c r="F82" s="183"/>
      <c r="G82" s="184"/>
      <c r="H82" s="174" t="s">
        <v>844</v>
      </c>
      <c r="I82" s="175"/>
      <c r="J82" s="175"/>
      <c r="K82" s="175"/>
      <c r="L82" s="176"/>
      <c r="M82" s="174" t="s">
        <v>842</v>
      </c>
      <c r="N82" s="177"/>
      <c r="O82" s="177"/>
      <c r="P82" s="177"/>
      <c r="Q82" s="177"/>
      <c r="R82" s="178"/>
      <c r="S82" s="179"/>
      <c r="V82" s="15" t="s">
        <v>553</v>
      </c>
    </row>
    <row r="83" spans="1:40" ht="15.45" customHeight="1" x14ac:dyDescent="0.25">
      <c r="C83" s="182" t="s">
        <v>552</v>
      </c>
      <c r="D83" s="183"/>
      <c r="E83" s="183"/>
      <c r="F83" s="183"/>
      <c r="G83" s="184"/>
      <c r="H83" s="174" t="s">
        <v>845</v>
      </c>
      <c r="I83" s="175"/>
      <c r="J83" s="175"/>
      <c r="K83" s="175"/>
      <c r="L83" s="176"/>
      <c r="M83" s="180" t="s">
        <v>852</v>
      </c>
      <c r="N83" s="181"/>
      <c r="O83" s="181"/>
      <c r="P83" s="181"/>
      <c r="Q83" s="181"/>
      <c r="R83" s="178"/>
      <c r="S83" s="179"/>
      <c r="V83" s="15" t="s">
        <v>554</v>
      </c>
    </row>
    <row r="84" spans="1:40" ht="15.45" customHeight="1" x14ac:dyDescent="0.25"/>
    <row r="85" spans="1:40" ht="15.45" customHeight="1" x14ac:dyDescent="0.25">
      <c r="A85" s="162" t="s">
        <v>6</v>
      </c>
      <c r="B85" s="163"/>
      <c r="C85" s="163"/>
      <c r="D85" s="163"/>
      <c r="E85" s="163"/>
      <c r="F85" s="163"/>
      <c r="G85" s="165" t="s">
        <v>12</v>
      </c>
      <c r="H85" s="165"/>
      <c r="I85" s="165"/>
      <c r="J85" s="165"/>
      <c r="K85" s="165"/>
      <c r="L85" s="165"/>
      <c r="M85" s="165"/>
      <c r="N85" s="165"/>
      <c r="O85" s="165"/>
      <c r="P85" s="165"/>
      <c r="Q85" s="165"/>
      <c r="R85" s="165"/>
      <c r="S85" s="165"/>
      <c r="T85" s="165"/>
      <c r="U85" s="165"/>
      <c r="V85" s="165"/>
      <c r="W85" s="165"/>
      <c r="X85" s="165"/>
      <c r="Y85" s="165"/>
      <c r="Z85" s="165"/>
      <c r="AA85" s="165"/>
      <c r="AB85" s="165"/>
      <c r="AC85" s="165"/>
      <c r="AD85" s="165"/>
      <c r="AE85" s="165"/>
      <c r="AF85" s="165"/>
      <c r="AG85" s="165"/>
      <c r="AH85" s="165"/>
      <c r="AI85" s="165"/>
      <c r="AJ85" s="165"/>
      <c r="AK85" s="165"/>
      <c r="AL85" s="165"/>
      <c r="AM85" s="165"/>
      <c r="AN85" s="166"/>
    </row>
    <row r="86" spans="1:40" x14ac:dyDescent="0.25">
      <c r="A86" s="164"/>
      <c r="B86" s="157"/>
      <c r="C86" s="157"/>
      <c r="D86" s="157"/>
      <c r="E86" s="157"/>
      <c r="F86" s="157"/>
      <c r="G86" s="167"/>
      <c r="H86" s="167"/>
      <c r="I86" s="167"/>
      <c r="J86" s="167"/>
      <c r="K86" s="167"/>
      <c r="L86" s="167"/>
      <c r="M86" s="167"/>
      <c r="N86" s="167"/>
      <c r="O86" s="167"/>
      <c r="P86" s="167"/>
      <c r="Q86" s="167"/>
      <c r="R86" s="167"/>
      <c r="S86" s="167"/>
      <c r="T86" s="167"/>
      <c r="U86" s="167"/>
      <c r="V86" s="167"/>
      <c r="W86" s="167"/>
      <c r="X86" s="167"/>
      <c r="Y86" s="167"/>
      <c r="Z86" s="167"/>
      <c r="AA86" s="167"/>
      <c r="AB86" s="167"/>
      <c r="AC86" s="167"/>
      <c r="AD86" s="167"/>
      <c r="AE86" s="167"/>
      <c r="AF86" s="167"/>
      <c r="AG86" s="167"/>
      <c r="AH86" s="167"/>
      <c r="AI86" s="167"/>
      <c r="AJ86" s="167"/>
      <c r="AK86" s="167"/>
      <c r="AL86" s="167"/>
      <c r="AM86" s="167"/>
      <c r="AN86" s="168"/>
    </row>
  </sheetData>
  <sheetProtection sheet="1" formatCells="0"/>
  <customSheetViews>
    <customSheetView guid="{CEE82286-2DC3-4150-9989-30CF9F331A30}" fitToPage="1" hiddenColumns="1">
      <selection activeCell="AH2" sqref="AH2:AJ2"/>
      <pageMargins left="0.4" right="0.25" top="0.3" bottom="0.3" header="0.25" footer="0.25"/>
      <printOptions horizontalCentered="1"/>
      <pageSetup scale="63" orientation="landscape" r:id="rId1"/>
      <headerFooter alignWithMargins="0"/>
    </customSheetView>
    <customSheetView guid="{4FF8E199-9DCD-4A1D-B440-7626F2F9D72A}" fitToPage="1" hiddenColumns="1">
      <selection activeCell="AH2" sqref="AH2:AJ2"/>
      <pageMargins left="0.4" right="0.25" top="0.3" bottom="0.3" header="0.25" footer="0.25"/>
      <printOptions horizontalCentered="1"/>
      <pageSetup scale="63" orientation="landscape" r:id="rId2"/>
      <headerFooter alignWithMargins="0"/>
    </customSheetView>
  </customSheetViews>
  <mergeCells count="45">
    <mergeCell ref="Z14:AB14"/>
    <mergeCell ref="U79:AD79"/>
    <mergeCell ref="C82:G82"/>
    <mergeCell ref="M81:S81"/>
    <mergeCell ref="C78:G79"/>
    <mergeCell ref="H78:L79"/>
    <mergeCell ref="M78:S79"/>
    <mergeCell ref="C80:G80"/>
    <mergeCell ref="H80:L80"/>
    <mergeCell ref="M80:S80"/>
    <mergeCell ref="A85:F86"/>
    <mergeCell ref="G85:AN86"/>
    <mergeCell ref="C81:G81"/>
    <mergeCell ref="H77:L77"/>
    <mergeCell ref="H82:L82"/>
    <mergeCell ref="C77:G77"/>
    <mergeCell ref="H81:L81"/>
    <mergeCell ref="M82:S82"/>
    <mergeCell ref="M83:S83"/>
    <mergeCell ref="H83:L83"/>
    <mergeCell ref="C83:G83"/>
    <mergeCell ref="G1:AG1"/>
    <mergeCell ref="G2:AG2"/>
    <mergeCell ref="G4:AG4"/>
    <mergeCell ref="AH5:AN5"/>
    <mergeCell ref="P5:Z5"/>
    <mergeCell ref="AA5:AG5"/>
    <mergeCell ref="AH3:AN3"/>
    <mergeCell ref="AH2:AN2"/>
    <mergeCell ref="A5:F5"/>
    <mergeCell ref="G5:J5"/>
    <mergeCell ref="K5:O5"/>
    <mergeCell ref="M77:S77"/>
    <mergeCell ref="A8:P8"/>
    <mergeCell ref="A7:P7"/>
    <mergeCell ref="Q7:AN7"/>
    <mergeCell ref="Q8:AN8"/>
    <mergeCell ref="B14:D14"/>
    <mergeCell ref="F14:H14"/>
    <mergeCell ref="J14:L14"/>
    <mergeCell ref="N14:P14"/>
    <mergeCell ref="V14:X14"/>
    <mergeCell ref="AD14:AF14"/>
    <mergeCell ref="Q9:AN9"/>
    <mergeCell ref="R14:T14"/>
  </mergeCells>
  <phoneticPr fontId="7" type="noConversion"/>
  <printOptions horizontalCentered="1"/>
  <pageMargins left="0.25" right="0.25" top="0.25" bottom="0.25" header="0.25" footer="0.25"/>
  <pageSetup scale="46" orientation="landscape" r:id="rId3"/>
  <headerFooter alignWithMargins="0"/>
  <ignoredErrors>
    <ignoredError sqref="AT61:BL74 AU60:BJ60 AV59:BI59 AW58:BH58 AX57:BG57" unlockedFormula="1"/>
  </ignoredErrors>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K270"/>
  <sheetViews>
    <sheetView workbookViewId="0">
      <selection activeCell="M17" sqref="M17"/>
    </sheetView>
  </sheetViews>
  <sheetFormatPr defaultColWidth="8.6640625" defaultRowHeight="13.2" x14ac:dyDescent="0.25"/>
  <cols>
    <col min="1" max="1" width="13.33203125" customWidth="1"/>
    <col min="2" max="2" width="28.109375" customWidth="1"/>
    <col min="3" max="3" width="7.6640625" customWidth="1"/>
    <col min="6" max="11" width="9.109375" style="41" hidden="1" customWidth="1"/>
  </cols>
  <sheetData>
    <row r="1" spans="1:11" x14ac:dyDescent="0.25">
      <c r="A1" t="s">
        <v>556</v>
      </c>
      <c r="I1" s="42" t="s">
        <v>574</v>
      </c>
      <c r="J1" s="43" t="s">
        <v>93</v>
      </c>
    </row>
    <row r="2" spans="1:11" x14ac:dyDescent="0.25">
      <c r="A2" t="s">
        <v>557</v>
      </c>
      <c r="I2" s="42" t="s">
        <v>575</v>
      </c>
      <c r="J2" s="44" t="s">
        <v>558</v>
      </c>
    </row>
    <row r="3" spans="1:11" x14ac:dyDescent="0.25">
      <c r="A3" t="s">
        <v>559</v>
      </c>
      <c r="I3" s="42" t="s">
        <v>576</v>
      </c>
      <c r="J3" s="44">
        <f ca="1">ROW(INDIRECT("'"&amp;J2&amp;"'!"&amp;J1))</f>
        <v>16</v>
      </c>
    </row>
    <row r="4" spans="1:11" x14ac:dyDescent="0.25">
      <c r="A4" t="s">
        <v>560</v>
      </c>
      <c r="I4" s="42" t="s">
        <v>577</v>
      </c>
      <c r="J4" s="44">
        <f ca="1">COLUMN(INDIRECT("'"&amp;J2&amp;"'!"&amp;J1))</f>
        <v>2</v>
      </c>
    </row>
    <row r="5" spans="1:11" x14ac:dyDescent="0.25">
      <c r="A5" t="s">
        <v>561</v>
      </c>
      <c r="I5" s="42" t="s">
        <v>578</v>
      </c>
      <c r="J5" s="43" t="s">
        <v>573</v>
      </c>
    </row>
    <row r="6" spans="1:11" x14ac:dyDescent="0.25">
      <c r="A6" t="s">
        <v>562</v>
      </c>
      <c r="I6" s="42" t="s">
        <v>579</v>
      </c>
      <c r="J6" s="44" t="e">
        <f ca="1">MAX(K15:K142)</f>
        <v>#NAME?</v>
      </c>
    </row>
    <row r="7" spans="1:11" x14ac:dyDescent="0.25">
      <c r="A7" t="s">
        <v>563</v>
      </c>
      <c r="I7" s="42" t="s">
        <v>580</v>
      </c>
      <c r="J7" s="44">
        <f>MAX(arrayrows)</f>
        <v>39</v>
      </c>
    </row>
    <row r="8" spans="1:11" x14ac:dyDescent="0.25">
      <c r="A8" t="s">
        <v>564</v>
      </c>
      <c r="I8" s="42" t="s">
        <v>581</v>
      </c>
      <c r="J8" s="44">
        <f>MIN(arraycols)</f>
        <v>3</v>
      </c>
    </row>
    <row r="9" spans="1:11" x14ac:dyDescent="0.25">
      <c r="A9" t="s">
        <v>557</v>
      </c>
      <c r="I9" s="42" t="s">
        <v>837</v>
      </c>
      <c r="J9" s="44">
        <f>ROW(arrayrows)-1</f>
        <v>12</v>
      </c>
    </row>
    <row r="10" spans="1:11" x14ac:dyDescent="0.25">
      <c r="A10" t="s">
        <v>565</v>
      </c>
    </row>
    <row r="11" spans="1:11" x14ac:dyDescent="0.25">
      <c r="A11" t="s">
        <v>566</v>
      </c>
    </row>
    <row r="12" spans="1:11" x14ac:dyDescent="0.25">
      <c r="A12" t="s">
        <v>557</v>
      </c>
    </row>
    <row r="13" spans="1:11" x14ac:dyDescent="0.25">
      <c r="A13" t="str">
        <f ca="1">"Cerebus mapping for array "&amp;TRIM(MID(INDIRECT("'"&amp;J2&amp;"'!P5"),FIND("#",INDIRECT("'"&amp;J2&amp;"'!P5"))+1,LEN(INDIRECT("'"&amp;J2&amp;"'!P5"))-FIND("#",INDIRECT("'"&amp;J2&amp;"'!P5"))))&amp;"    "&amp;INDIRECT("'"&amp;J2&amp;"'!AH5")</f>
        <v>Cerebus mapping for array 1106-22, 24, 42, 44    SN:   11386-024040</v>
      </c>
    </row>
    <row r="14" spans="1:11" x14ac:dyDescent="0.25">
      <c r="A14" t="s">
        <v>567</v>
      </c>
      <c r="B14" t="s">
        <v>568</v>
      </c>
      <c r="C14" t="s">
        <v>569</v>
      </c>
      <c r="D14" t="s">
        <v>570</v>
      </c>
      <c r="E14" t="s">
        <v>571</v>
      </c>
    </row>
    <row r="15" spans="1:11" x14ac:dyDescent="0.25">
      <c r="A15" t="e">
        <f ca="1">IF(H15=0,"",VALUE(LEFT(J15,FIND(",",J15)-1)))</f>
        <v>#NAME?</v>
      </c>
      <c r="B15" t="e">
        <f ca="1">IF(H15=0,"",ABS(MID(J15,FIND(",",J15)+1,3)))</f>
        <v>#NAME?</v>
      </c>
      <c r="C15" t="e">
        <f ca="1">IF(A15="","",LEFT(IF(A15="","",INDEX($F$15:$G$270,MATCH(H15,$G$15:$G$270,0),1)),1))</f>
        <v>#NAME?</v>
      </c>
      <c r="D15" t="e">
        <f ca="1">IF(C15="","",TRIM(RIGHT(IF(C15="","",INDEX($F$15:$G$270,MATCH(H15,$G$15:$G$270,0),1)),2)))</f>
        <v>#NAME?</v>
      </c>
      <c r="E15" t="e">
        <f ca="1">IF(H15=0,"","elec"&amp;IF($J$6&gt;1,K15&amp;"-","")&amp;H15)</f>
        <v>#NAME?</v>
      </c>
      <c r="F15" s="41" t="s">
        <v>572</v>
      </c>
      <c r="G15" s="41">
        <f ca="1">INDIRECT("'"&amp;$J$2&amp;"'!R"&amp;(VALUE(MID($F15,3,2))-1)+$J$3&amp;"C"&amp;$J$4+IF(LEFT($F15,1)="A",1,0)+IF(LEFT($F15,1)="B",5,0)+IF(LEFT($F15,1)="C",9,0)+IF(LEFT($F15,1)="D",13,0)+IF(LEFT($F15,1)="E",17,0)+IF(LEFT($F15,1)="F",21,0)+IF(LEFT($F15,1)="G",25,0)+IF(LEFT($F15,1)="H",29,0),0)</f>
        <v>5</v>
      </c>
      <c r="H15" s="41">
        <f ca="1">I15</f>
        <v>256</v>
      </c>
      <c r="I15" s="41">
        <f ca="1">MAX(G15:G270)</f>
        <v>256</v>
      </c>
      <c r="J15" s="41" t="e">
        <f ca="1">IF(H15=0,0,TableSearch(H15,arrayspace,$J$8,$J$7))</f>
        <v>#NAME?</v>
      </c>
      <c r="K15" s="41" t="e">
        <f ca="1">IF(H15=0,0,INDIRECT("'"&amp;$J$2&amp;"'!"&amp;$J$5&amp;(-B15+$J$7+$J$9)))</f>
        <v>#NAME?</v>
      </c>
    </row>
    <row r="16" spans="1:11" x14ac:dyDescent="0.25">
      <c r="A16" t="e">
        <f t="shared" ref="A16:A79" ca="1" si="0">IF(H16=0,"",VALUE(LEFT(J16,FIND(",",J16)-1)))</f>
        <v>#NAME?</v>
      </c>
      <c r="B16" t="e">
        <f t="shared" ref="B16:B79" ca="1" si="1">IF(H16=0,"",ABS(MID(J16,FIND(",",J16)+1,3)))</f>
        <v>#NAME?</v>
      </c>
      <c r="C16" t="e">
        <f t="shared" ref="C16:C79" ca="1" si="2">IF(A16="","",LEFT(IF(A16="","",INDEX($F$15:$G$270,MATCH(H16,$G$15:$G$270,0),1)),1))</f>
        <v>#NAME?</v>
      </c>
      <c r="D16" t="e">
        <f t="shared" ref="D16:D79" ca="1" si="3">IF(C16="","",TRIM(RIGHT(IF(C16="","",INDEX($F$15:$G$270,MATCH(H16,$G$15:$G$270,0),1)),2)))</f>
        <v>#NAME?</v>
      </c>
      <c r="E16" t="e">
        <f t="shared" ref="E16:E79" ca="1" si="4">IF(H16=0,"","elec"&amp;IF($J$6&gt;1,K16&amp;"-","")&amp;H16)</f>
        <v>#NAME?</v>
      </c>
      <c r="F16" s="45" t="s">
        <v>582</v>
      </c>
      <c r="G16" s="41">
        <f t="shared" ref="G16:G79" ca="1" si="5">INDIRECT("'"&amp;$J$2&amp;"'!R"&amp;(VALUE(MID($F16,3,2))-1)+$J$3&amp;"C"&amp;$J$4+IF(LEFT($F16,1)="A",1,0)+IF(LEFT($F16,1)="B",5,0)+IF(LEFT($F16,1)="C",9,0)+IF(LEFT($F16,1)="D",13,0)+IF(LEFT($F16,1)="E",17,0)+IF(LEFT($F16,1)="F",21,0)+IF(LEFT($F16,1)="G",25,0)+IF(LEFT($F16,1)="H",29,0),0)</f>
        <v>14</v>
      </c>
      <c r="H16" s="41">
        <f t="shared" ref="H16:H79" ca="1" si="6">I16</f>
        <v>255</v>
      </c>
      <c r="I16" s="41">
        <f ca="1">IF(ISNA(MATCH($I$15-(ROW()-15),$G$15:$G$270,0)),0,$I$15-(ROW()-15))</f>
        <v>255</v>
      </c>
      <c r="J16" s="41" t="e">
        <f ca="1">IF(H16=0,0,TableSearch(H16,arrayspace,$J$8,$J$7))</f>
        <v>#NAME?</v>
      </c>
      <c r="K16" s="41" t="e">
        <f t="shared" ref="K16:K79" ca="1" si="7">IF(H16=0,0,INDIRECT("'"&amp;$J$2&amp;"'!"&amp;$J$5&amp;(-B16+$J$7+$J$9)))</f>
        <v>#NAME?</v>
      </c>
    </row>
    <row r="17" spans="1:11" x14ac:dyDescent="0.25">
      <c r="A17" t="e">
        <f t="shared" ca="1" si="0"/>
        <v>#NAME?</v>
      </c>
      <c r="B17" t="e">
        <f t="shared" ca="1" si="1"/>
        <v>#NAME?</v>
      </c>
      <c r="C17" t="e">
        <f t="shared" ca="1" si="2"/>
        <v>#NAME?</v>
      </c>
      <c r="D17" t="e">
        <f t="shared" ca="1" si="3"/>
        <v>#NAME?</v>
      </c>
      <c r="E17" t="e">
        <f t="shared" ca="1" si="4"/>
        <v>#NAME?</v>
      </c>
      <c r="F17" s="41" t="s">
        <v>583</v>
      </c>
      <c r="G17" s="41">
        <f t="shared" ca="1" si="5"/>
        <v>25</v>
      </c>
      <c r="H17" s="41">
        <f t="shared" ca="1" si="6"/>
        <v>254</v>
      </c>
      <c r="I17" s="41">
        <f t="shared" ref="I17:I80" ca="1" si="8">IF(ISNA(MATCH($I$15-(ROW()-15),$G$15:$G$270,0)),0,$I$15-(ROW()-15))</f>
        <v>254</v>
      </c>
      <c r="J17" s="41" t="e">
        <f ca="1">IF(H17=0,0,TableSearch(H17,arrayspace,$J$8,$J$7))</f>
        <v>#NAME?</v>
      </c>
      <c r="K17" s="41" t="e">
        <f t="shared" ca="1" si="7"/>
        <v>#NAME?</v>
      </c>
    </row>
    <row r="18" spans="1:11" x14ac:dyDescent="0.25">
      <c r="A18" t="e">
        <f t="shared" ca="1" si="0"/>
        <v>#NAME?</v>
      </c>
      <c r="B18" t="e">
        <f t="shared" ca="1" si="1"/>
        <v>#NAME?</v>
      </c>
      <c r="C18" t="e">
        <f t="shared" ca="1" si="2"/>
        <v>#NAME?</v>
      </c>
      <c r="D18" t="e">
        <f t="shared" ca="1" si="3"/>
        <v>#NAME?</v>
      </c>
      <c r="E18" t="e">
        <f t="shared" ca="1" si="4"/>
        <v>#NAME?</v>
      </c>
      <c r="F18" s="45" t="s">
        <v>584</v>
      </c>
      <c r="G18" s="41">
        <f t="shared" ca="1" si="5"/>
        <v>38</v>
      </c>
      <c r="H18" s="41">
        <f t="shared" ca="1" si="6"/>
        <v>253</v>
      </c>
      <c r="I18" s="41">
        <f t="shared" ca="1" si="8"/>
        <v>253</v>
      </c>
      <c r="J18" s="41" t="e">
        <f ca="1">IF(H18=0,0,TableSearch(H18,arrayspace,$J$8,$J$7))</f>
        <v>#NAME?</v>
      </c>
      <c r="K18" s="41" t="e">
        <f t="shared" ca="1" si="7"/>
        <v>#NAME?</v>
      </c>
    </row>
    <row r="19" spans="1:11" x14ac:dyDescent="0.25">
      <c r="A19" t="e">
        <f t="shared" ca="1" si="0"/>
        <v>#NAME?</v>
      </c>
      <c r="B19" t="e">
        <f t="shared" ca="1" si="1"/>
        <v>#NAME?</v>
      </c>
      <c r="C19" t="e">
        <f t="shared" ca="1" si="2"/>
        <v>#NAME?</v>
      </c>
      <c r="D19" t="e">
        <f t="shared" ca="1" si="3"/>
        <v>#NAME?</v>
      </c>
      <c r="E19" t="e">
        <f t="shared" ca="1" si="4"/>
        <v>#NAME?</v>
      </c>
      <c r="F19" s="41" t="s">
        <v>585</v>
      </c>
      <c r="G19" s="41">
        <f t="shared" ca="1" si="5"/>
        <v>53</v>
      </c>
      <c r="H19" s="41">
        <f t="shared" ca="1" si="6"/>
        <v>252</v>
      </c>
      <c r="I19" s="41">
        <f t="shared" ca="1" si="8"/>
        <v>252</v>
      </c>
      <c r="J19" s="41" t="e">
        <f ca="1">IF(H19=0,0,TableSearch(H19,arrayspace,$J$8,$J$7))</f>
        <v>#NAME?</v>
      </c>
      <c r="K19" s="41" t="e">
        <f t="shared" ca="1" si="7"/>
        <v>#NAME?</v>
      </c>
    </row>
    <row r="20" spans="1:11" x14ac:dyDescent="0.25">
      <c r="A20" t="e">
        <f t="shared" ca="1" si="0"/>
        <v>#NAME?</v>
      </c>
      <c r="B20" t="e">
        <f t="shared" ca="1" si="1"/>
        <v>#NAME?</v>
      </c>
      <c r="C20" t="e">
        <f t="shared" ca="1" si="2"/>
        <v>#NAME?</v>
      </c>
      <c r="D20" t="e">
        <f t="shared" ca="1" si="3"/>
        <v>#NAME?</v>
      </c>
      <c r="E20" t="e">
        <f t="shared" ca="1" si="4"/>
        <v>#NAME?</v>
      </c>
      <c r="F20" s="45" t="s">
        <v>586</v>
      </c>
      <c r="G20" s="41">
        <f t="shared" ca="1" si="5"/>
        <v>70</v>
      </c>
      <c r="H20" s="41">
        <f t="shared" ca="1" si="6"/>
        <v>251</v>
      </c>
      <c r="I20" s="41">
        <f t="shared" ca="1" si="8"/>
        <v>251</v>
      </c>
      <c r="J20" s="41" t="e">
        <f ca="1">IF(H20=0,0,TableSearch(H20,arrayspace,$J$8,$J$7))</f>
        <v>#NAME?</v>
      </c>
      <c r="K20" s="41" t="e">
        <f t="shared" ca="1" si="7"/>
        <v>#NAME?</v>
      </c>
    </row>
    <row r="21" spans="1:11" x14ac:dyDescent="0.25">
      <c r="A21" t="e">
        <f t="shared" ca="1" si="0"/>
        <v>#NAME?</v>
      </c>
      <c r="B21" t="e">
        <f t="shared" ca="1" si="1"/>
        <v>#NAME?</v>
      </c>
      <c r="C21" t="e">
        <f t="shared" ca="1" si="2"/>
        <v>#NAME?</v>
      </c>
      <c r="D21" t="e">
        <f t="shared" ca="1" si="3"/>
        <v>#NAME?</v>
      </c>
      <c r="E21" t="e">
        <f t="shared" ca="1" si="4"/>
        <v>#NAME?</v>
      </c>
      <c r="F21" s="41" t="s">
        <v>587</v>
      </c>
      <c r="G21" s="41">
        <f t="shared" ca="1" si="5"/>
        <v>6</v>
      </c>
      <c r="H21" s="41">
        <f t="shared" ca="1" si="6"/>
        <v>250</v>
      </c>
      <c r="I21" s="41">
        <f t="shared" ca="1" si="8"/>
        <v>250</v>
      </c>
      <c r="J21" s="41" t="e">
        <f ca="1">IF(H21=0,0,TableSearch(H21,arrayspace,$J$8,$J$7))</f>
        <v>#NAME?</v>
      </c>
      <c r="K21" s="41" t="e">
        <f t="shared" ca="1" si="7"/>
        <v>#NAME?</v>
      </c>
    </row>
    <row r="22" spans="1:11" x14ac:dyDescent="0.25">
      <c r="A22" t="e">
        <f t="shared" ca="1" si="0"/>
        <v>#NAME?</v>
      </c>
      <c r="B22" t="e">
        <f t="shared" ca="1" si="1"/>
        <v>#NAME?</v>
      </c>
      <c r="C22" t="e">
        <f t="shared" ca="1" si="2"/>
        <v>#NAME?</v>
      </c>
      <c r="D22" t="e">
        <f t="shared" ca="1" si="3"/>
        <v>#NAME?</v>
      </c>
      <c r="E22" t="e">
        <f t="shared" ca="1" si="4"/>
        <v>#NAME?</v>
      </c>
      <c r="F22" s="45" t="s">
        <v>588</v>
      </c>
      <c r="G22" s="41">
        <f t="shared" ca="1" si="5"/>
        <v>15</v>
      </c>
      <c r="H22" s="41">
        <f t="shared" ca="1" si="6"/>
        <v>249</v>
      </c>
      <c r="I22" s="41">
        <f t="shared" ca="1" si="8"/>
        <v>249</v>
      </c>
      <c r="J22" s="41" t="e">
        <f ca="1">IF(H22=0,0,TableSearch(H22,arrayspace,$J$8,$J$7))</f>
        <v>#NAME?</v>
      </c>
      <c r="K22" s="41" t="e">
        <f t="shared" ca="1" si="7"/>
        <v>#NAME?</v>
      </c>
    </row>
    <row r="23" spans="1:11" x14ac:dyDescent="0.25">
      <c r="A23" t="e">
        <f t="shared" ca="1" si="0"/>
        <v>#NAME?</v>
      </c>
      <c r="B23" t="e">
        <f t="shared" ca="1" si="1"/>
        <v>#NAME?</v>
      </c>
      <c r="C23" t="e">
        <f t="shared" ca="1" si="2"/>
        <v>#NAME?</v>
      </c>
      <c r="D23" t="e">
        <f t="shared" ca="1" si="3"/>
        <v>#NAME?</v>
      </c>
      <c r="E23" t="e">
        <f t="shared" ca="1" si="4"/>
        <v>#NAME?</v>
      </c>
      <c r="F23" s="41" t="s">
        <v>589</v>
      </c>
      <c r="G23" s="41">
        <f t="shared" ca="1" si="5"/>
        <v>26</v>
      </c>
      <c r="H23" s="41">
        <f t="shared" ca="1" si="6"/>
        <v>248</v>
      </c>
      <c r="I23" s="41">
        <f t="shared" ca="1" si="8"/>
        <v>248</v>
      </c>
      <c r="J23" s="41" t="e">
        <f ca="1">IF(H23=0,0,TableSearch(H23,arrayspace,$J$8,$J$7))</f>
        <v>#NAME?</v>
      </c>
      <c r="K23" s="41" t="e">
        <f t="shared" ca="1" si="7"/>
        <v>#NAME?</v>
      </c>
    </row>
    <row r="24" spans="1:11" x14ac:dyDescent="0.25">
      <c r="A24" t="e">
        <f t="shared" ca="1" si="0"/>
        <v>#NAME?</v>
      </c>
      <c r="B24" t="e">
        <f t="shared" ca="1" si="1"/>
        <v>#NAME?</v>
      </c>
      <c r="C24" t="e">
        <f t="shared" ca="1" si="2"/>
        <v>#NAME?</v>
      </c>
      <c r="D24" t="e">
        <f t="shared" ca="1" si="3"/>
        <v>#NAME?</v>
      </c>
      <c r="E24" t="e">
        <f t="shared" ca="1" si="4"/>
        <v>#NAME?</v>
      </c>
      <c r="F24" s="45" t="s">
        <v>590</v>
      </c>
      <c r="G24" s="41">
        <f t="shared" ca="1" si="5"/>
        <v>39</v>
      </c>
      <c r="H24" s="41">
        <f t="shared" ca="1" si="6"/>
        <v>247</v>
      </c>
      <c r="I24" s="41">
        <f t="shared" ca="1" si="8"/>
        <v>247</v>
      </c>
      <c r="J24" s="41" t="e">
        <f ca="1">IF(H24=0,0,TableSearch(H24,arrayspace,$J$8,$J$7))</f>
        <v>#NAME?</v>
      </c>
      <c r="K24" s="41" t="e">
        <f t="shared" ca="1" si="7"/>
        <v>#NAME?</v>
      </c>
    </row>
    <row r="25" spans="1:11" x14ac:dyDescent="0.25">
      <c r="A25" t="e">
        <f t="shared" ca="1" si="0"/>
        <v>#NAME?</v>
      </c>
      <c r="B25" t="e">
        <f t="shared" ca="1" si="1"/>
        <v>#NAME?</v>
      </c>
      <c r="C25" t="e">
        <f t="shared" ca="1" si="2"/>
        <v>#NAME?</v>
      </c>
      <c r="D25" t="e">
        <f t="shared" ca="1" si="3"/>
        <v>#NAME?</v>
      </c>
      <c r="E25" t="e">
        <f t="shared" ca="1" si="4"/>
        <v>#NAME?</v>
      </c>
      <c r="F25" s="41" t="s">
        <v>591</v>
      </c>
      <c r="G25" s="41">
        <f t="shared" ca="1" si="5"/>
        <v>54</v>
      </c>
      <c r="H25" s="41">
        <f t="shared" ca="1" si="6"/>
        <v>246</v>
      </c>
      <c r="I25" s="41">
        <f t="shared" ca="1" si="8"/>
        <v>246</v>
      </c>
      <c r="J25" s="41" t="e">
        <f ca="1">IF(H25=0,0,TableSearch(H25,arrayspace,$J$8,$J$7))</f>
        <v>#NAME?</v>
      </c>
      <c r="K25" s="41" t="e">
        <f t="shared" ca="1" si="7"/>
        <v>#NAME?</v>
      </c>
    </row>
    <row r="26" spans="1:11" x14ac:dyDescent="0.25">
      <c r="A26" t="e">
        <f t="shared" ca="1" si="0"/>
        <v>#NAME?</v>
      </c>
      <c r="B26" t="e">
        <f t="shared" ca="1" si="1"/>
        <v>#NAME?</v>
      </c>
      <c r="C26" t="e">
        <f t="shared" ca="1" si="2"/>
        <v>#NAME?</v>
      </c>
      <c r="D26" t="e">
        <f t="shared" ca="1" si="3"/>
        <v>#NAME?</v>
      </c>
      <c r="E26" t="e">
        <f t="shared" ca="1" si="4"/>
        <v>#NAME?</v>
      </c>
      <c r="F26" s="45" t="s">
        <v>592</v>
      </c>
      <c r="G26" s="41">
        <f t="shared" ca="1" si="5"/>
        <v>71</v>
      </c>
      <c r="H26" s="41">
        <f t="shared" ca="1" si="6"/>
        <v>245</v>
      </c>
      <c r="I26" s="41">
        <f t="shared" ca="1" si="8"/>
        <v>245</v>
      </c>
      <c r="J26" s="41" t="e">
        <f ca="1">IF(H26=0,0,TableSearch(H26,arrayspace,$J$8,$J$7))</f>
        <v>#NAME?</v>
      </c>
      <c r="K26" s="41" t="e">
        <f t="shared" ca="1" si="7"/>
        <v>#NAME?</v>
      </c>
    </row>
    <row r="27" spans="1:11" x14ac:dyDescent="0.25">
      <c r="A27" t="e">
        <f t="shared" ca="1" si="0"/>
        <v>#NAME?</v>
      </c>
      <c r="B27" t="e">
        <f t="shared" ca="1" si="1"/>
        <v>#NAME?</v>
      </c>
      <c r="C27" t="e">
        <f t="shared" ca="1" si="2"/>
        <v>#NAME?</v>
      </c>
      <c r="D27" t="e">
        <f t="shared" ca="1" si="3"/>
        <v>#NAME?</v>
      </c>
      <c r="E27" t="e">
        <f t="shared" ca="1" si="4"/>
        <v>#NAME?</v>
      </c>
      <c r="F27" s="41" t="s">
        <v>593</v>
      </c>
      <c r="G27" s="41">
        <f t="shared" ca="1" si="5"/>
        <v>7</v>
      </c>
      <c r="H27" s="41">
        <f t="shared" ca="1" si="6"/>
        <v>244</v>
      </c>
      <c r="I27" s="41">
        <f t="shared" ca="1" si="8"/>
        <v>244</v>
      </c>
      <c r="J27" s="41" t="e">
        <f ca="1">IF(H27=0,0,TableSearch(H27,arrayspace,$J$8,$J$7))</f>
        <v>#NAME?</v>
      </c>
      <c r="K27" s="41" t="e">
        <f t="shared" ca="1" si="7"/>
        <v>#NAME?</v>
      </c>
    </row>
    <row r="28" spans="1:11" x14ac:dyDescent="0.25">
      <c r="A28" t="e">
        <f t="shared" ca="1" si="0"/>
        <v>#NAME?</v>
      </c>
      <c r="B28" t="e">
        <f t="shared" ca="1" si="1"/>
        <v>#NAME?</v>
      </c>
      <c r="C28" t="e">
        <f t="shared" ca="1" si="2"/>
        <v>#NAME?</v>
      </c>
      <c r="D28" t="e">
        <f t="shared" ca="1" si="3"/>
        <v>#NAME?</v>
      </c>
      <c r="E28" t="e">
        <f t="shared" ca="1" si="4"/>
        <v>#NAME?</v>
      </c>
      <c r="F28" s="45" t="s">
        <v>594</v>
      </c>
      <c r="G28" s="41">
        <f t="shared" ca="1" si="5"/>
        <v>16</v>
      </c>
      <c r="H28" s="41">
        <f t="shared" ca="1" si="6"/>
        <v>243</v>
      </c>
      <c r="I28" s="41">
        <f t="shared" ca="1" si="8"/>
        <v>243</v>
      </c>
      <c r="J28" s="41" t="e">
        <f ca="1">IF(H28=0,0,TableSearch(H28,arrayspace,$J$8,$J$7))</f>
        <v>#NAME?</v>
      </c>
      <c r="K28" s="41" t="e">
        <f t="shared" ca="1" si="7"/>
        <v>#NAME?</v>
      </c>
    </row>
    <row r="29" spans="1:11" x14ac:dyDescent="0.25">
      <c r="A29" t="e">
        <f t="shared" ca="1" si="0"/>
        <v>#NAME?</v>
      </c>
      <c r="B29" t="e">
        <f t="shared" ca="1" si="1"/>
        <v>#NAME?</v>
      </c>
      <c r="C29" t="e">
        <f t="shared" ca="1" si="2"/>
        <v>#NAME?</v>
      </c>
      <c r="D29" t="e">
        <f t="shared" ca="1" si="3"/>
        <v>#NAME?</v>
      </c>
      <c r="E29" t="e">
        <f t="shared" ca="1" si="4"/>
        <v>#NAME?</v>
      </c>
      <c r="F29" s="41" t="s">
        <v>595</v>
      </c>
      <c r="G29" s="41">
        <f t="shared" ca="1" si="5"/>
        <v>27</v>
      </c>
      <c r="H29" s="41">
        <f t="shared" ca="1" si="6"/>
        <v>242</v>
      </c>
      <c r="I29" s="41">
        <f t="shared" ca="1" si="8"/>
        <v>242</v>
      </c>
      <c r="J29" s="41" t="e">
        <f ca="1">IF(H29=0,0,TableSearch(H29,arrayspace,$J$8,$J$7))</f>
        <v>#NAME?</v>
      </c>
      <c r="K29" s="41" t="e">
        <f t="shared" ca="1" si="7"/>
        <v>#NAME?</v>
      </c>
    </row>
    <row r="30" spans="1:11" x14ac:dyDescent="0.25">
      <c r="A30" t="e">
        <f t="shared" ca="1" si="0"/>
        <v>#NAME?</v>
      </c>
      <c r="B30" t="e">
        <f t="shared" ca="1" si="1"/>
        <v>#NAME?</v>
      </c>
      <c r="C30" t="e">
        <f t="shared" ca="1" si="2"/>
        <v>#NAME?</v>
      </c>
      <c r="D30" t="e">
        <f t="shared" ca="1" si="3"/>
        <v>#NAME?</v>
      </c>
      <c r="E30" t="e">
        <f t="shared" ca="1" si="4"/>
        <v>#NAME?</v>
      </c>
      <c r="F30" s="45" t="s">
        <v>596</v>
      </c>
      <c r="G30" s="41">
        <f t="shared" ca="1" si="5"/>
        <v>40</v>
      </c>
      <c r="H30" s="41">
        <f t="shared" ca="1" si="6"/>
        <v>241</v>
      </c>
      <c r="I30" s="41">
        <f t="shared" ca="1" si="8"/>
        <v>241</v>
      </c>
      <c r="J30" s="41" t="e">
        <f ca="1">IF(H30=0,0,TableSearch(H30,arrayspace,$J$8,$J$7))</f>
        <v>#NAME?</v>
      </c>
      <c r="K30" s="41" t="e">
        <f t="shared" ca="1" si="7"/>
        <v>#NAME?</v>
      </c>
    </row>
    <row r="31" spans="1:11" x14ac:dyDescent="0.25">
      <c r="A31" t="e">
        <f t="shared" ca="1" si="0"/>
        <v>#NAME?</v>
      </c>
      <c r="B31" t="e">
        <f t="shared" ca="1" si="1"/>
        <v>#NAME?</v>
      </c>
      <c r="C31" t="e">
        <f t="shared" ca="1" si="2"/>
        <v>#NAME?</v>
      </c>
      <c r="D31" t="e">
        <f t="shared" ca="1" si="3"/>
        <v>#NAME?</v>
      </c>
      <c r="E31" t="e">
        <f t="shared" ca="1" si="4"/>
        <v>#NAME?</v>
      </c>
      <c r="F31" s="41" t="s">
        <v>597</v>
      </c>
      <c r="G31" s="41">
        <f t="shared" ca="1" si="5"/>
        <v>55</v>
      </c>
      <c r="H31" s="41">
        <f t="shared" ca="1" si="6"/>
        <v>240</v>
      </c>
      <c r="I31" s="41">
        <f t="shared" ca="1" si="8"/>
        <v>240</v>
      </c>
      <c r="J31" s="41" t="e">
        <f ca="1">IF(H31=0,0,TableSearch(H31,arrayspace,$J$8,$J$7))</f>
        <v>#NAME?</v>
      </c>
      <c r="K31" s="41" t="e">
        <f t="shared" ca="1" si="7"/>
        <v>#NAME?</v>
      </c>
    </row>
    <row r="32" spans="1:11" x14ac:dyDescent="0.25">
      <c r="A32" t="e">
        <f t="shared" ca="1" si="0"/>
        <v>#NAME?</v>
      </c>
      <c r="B32" t="e">
        <f t="shared" ca="1" si="1"/>
        <v>#NAME?</v>
      </c>
      <c r="C32" t="e">
        <f t="shared" ca="1" si="2"/>
        <v>#NAME?</v>
      </c>
      <c r="D32" t="e">
        <f t="shared" ca="1" si="3"/>
        <v>#NAME?</v>
      </c>
      <c r="E32" t="e">
        <f t="shared" ca="1" si="4"/>
        <v>#NAME?</v>
      </c>
      <c r="F32" s="45" t="s">
        <v>598</v>
      </c>
      <c r="G32" s="41">
        <f t="shared" ca="1" si="5"/>
        <v>8</v>
      </c>
      <c r="H32" s="41">
        <f t="shared" ca="1" si="6"/>
        <v>239</v>
      </c>
      <c r="I32" s="41">
        <f t="shared" ca="1" si="8"/>
        <v>239</v>
      </c>
      <c r="J32" s="41" t="e">
        <f ca="1">IF(H32=0,0,TableSearch(H32,arrayspace,$J$8,$J$7))</f>
        <v>#NAME?</v>
      </c>
      <c r="K32" s="41" t="e">
        <f t="shared" ca="1" si="7"/>
        <v>#NAME?</v>
      </c>
    </row>
    <row r="33" spans="1:11" x14ac:dyDescent="0.25">
      <c r="A33" t="e">
        <f t="shared" ca="1" si="0"/>
        <v>#NAME?</v>
      </c>
      <c r="B33" t="e">
        <f t="shared" ca="1" si="1"/>
        <v>#NAME?</v>
      </c>
      <c r="C33" t="e">
        <f t="shared" ca="1" si="2"/>
        <v>#NAME?</v>
      </c>
      <c r="D33" t="e">
        <f t="shared" ca="1" si="3"/>
        <v>#NAME?</v>
      </c>
      <c r="E33" t="e">
        <f t="shared" ca="1" si="4"/>
        <v>#NAME?</v>
      </c>
      <c r="F33" s="41" t="s">
        <v>599</v>
      </c>
      <c r="G33" s="41">
        <f t="shared" ca="1" si="5"/>
        <v>17</v>
      </c>
      <c r="H33" s="41">
        <f t="shared" ca="1" si="6"/>
        <v>238</v>
      </c>
      <c r="I33" s="41">
        <f t="shared" ca="1" si="8"/>
        <v>238</v>
      </c>
      <c r="J33" s="41" t="e">
        <f ca="1">IF(H33=0,0,TableSearch(H33,arrayspace,$J$8,$J$7))</f>
        <v>#NAME?</v>
      </c>
      <c r="K33" s="41" t="e">
        <f t="shared" ca="1" si="7"/>
        <v>#NAME?</v>
      </c>
    </row>
    <row r="34" spans="1:11" x14ac:dyDescent="0.25">
      <c r="A34" t="e">
        <f t="shared" ca="1" si="0"/>
        <v>#NAME?</v>
      </c>
      <c r="B34" t="e">
        <f t="shared" ca="1" si="1"/>
        <v>#NAME?</v>
      </c>
      <c r="C34" t="e">
        <f t="shared" ca="1" si="2"/>
        <v>#NAME?</v>
      </c>
      <c r="D34" t="e">
        <f t="shared" ca="1" si="3"/>
        <v>#NAME?</v>
      </c>
      <c r="E34" t="e">
        <f t="shared" ca="1" si="4"/>
        <v>#NAME?</v>
      </c>
      <c r="F34" s="45" t="s">
        <v>600</v>
      </c>
      <c r="G34" s="41">
        <f t="shared" ca="1" si="5"/>
        <v>28</v>
      </c>
      <c r="H34" s="41">
        <f t="shared" ca="1" si="6"/>
        <v>237</v>
      </c>
      <c r="I34" s="41">
        <f t="shared" ca="1" si="8"/>
        <v>237</v>
      </c>
      <c r="J34" s="41" t="e">
        <f ca="1">IF(H34=0,0,TableSearch(H34,arrayspace,$J$8,$J$7))</f>
        <v>#NAME?</v>
      </c>
      <c r="K34" s="41" t="e">
        <f t="shared" ca="1" si="7"/>
        <v>#NAME?</v>
      </c>
    </row>
    <row r="35" spans="1:11" x14ac:dyDescent="0.25">
      <c r="A35" t="e">
        <f t="shared" ca="1" si="0"/>
        <v>#NAME?</v>
      </c>
      <c r="B35" t="e">
        <f t="shared" ca="1" si="1"/>
        <v>#NAME?</v>
      </c>
      <c r="C35" t="e">
        <f t="shared" ca="1" si="2"/>
        <v>#NAME?</v>
      </c>
      <c r="D35" t="e">
        <f t="shared" ca="1" si="3"/>
        <v>#NAME?</v>
      </c>
      <c r="E35" t="e">
        <f t="shared" ca="1" si="4"/>
        <v>#NAME?</v>
      </c>
      <c r="F35" s="41" t="s">
        <v>601</v>
      </c>
      <c r="G35" s="41">
        <f t="shared" ca="1" si="5"/>
        <v>41</v>
      </c>
      <c r="H35" s="41">
        <f t="shared" ca="1" si="6"/>
        <v>236</v>
      </c>
      <c r="I35" s="41">
        <f t="shared" ca="1" si="8"/>
        <v>236</v>
      </c>
      <c r="J35" s="41" t="e">
        <f ca="1">IF(H35=0,0,TableSearch(H35,arrayspace,$J$8,$J$7))</f>
        <v>#NAME?</v>
      </c>
      <c r="K35" s="41" t="e">
        <f t="shared" ca="1" si="7"/>
        <v>#NAME?</v>
      </c>
    </row>
    <row r="36" spans="1:11" x14ac:dyDescent="0.25">
      <c r="A36" t="e">
        <f t="shared" ca="1" si="0"/>
        <v>#NAME?</v>
      </c>
      <c r="B36" t="e">
        <f t="shared" ca="1" si="1"/>
        <v>#NAME?</v>
      </c>
      <c r="C36" t="e">
        <f t="shared" ca="1" si="2"/>
        <v>#NAME?</v>
      </c>
      <c r="D36" t="e">
        <f t="shared" ca="1" si="3"/>
        <v>#NAME?</v>
      </c>
      <c r="E36" t="e">
        <f t="shared" ca="1" si="4"/>
        <v>#NAME?</v>
      </c>
      <c r="F36" s="45" t="s">
        <v>602</v>
      </c>
      <c r="G36" s="41">
        <f t="shared" ca="1" si="5"/>
        <v>56</v>
      </c>
      <c r="H36" s="41">
        <f t="shared" ca="1" si="6"/>
        <v>235</v>
      </c>
      <c r="I36" s="41">
        <f t="shared" ca="1" si="8"/>
        <v>235</v>
      </c>
      <c r="J36" s="41" t="e">
        <f ca="1">IF(H36=0,0,TableSearch(H36,arrayspace,$J$8,$J$7))</f>
        <v>#NAME?</v>
      </c>
      <c r="K36" s="41" t="e">
        <f t="shared" ca="1" si="7"/>
        <v>#NAME?</v>
      </c>
    </row>
    <row r="37" spans="1:11" x14ac:dyDescent="0.25">
      <c r="A37" t="e">
        <f t="shared" ca="1" si="0"/>
        <v>#NAME?</v>
      </c>
      <c r="B37" t="e">
        <f t="shared" ca="1" si="1"/>
        <v>#NAME?</v>
      </c>
      <c r="C37" t="e">
        <f t="shared" ca="1" si="2"/>
        <v>#NAME?</v>
      </c>
      <c r="D37" t="e">
        <f t="shared" ca="1" si="3"/>
        <v>#NAME?</v>
      </c>
      <c r="E37" t="e">
        <f t="shared" ca="1" si="4"/>
        <v>#NAME?</v>
      </c>
      <c r="F37" s="41" t="s">
        <v>603</v>
      </c>
      <c r="G37" s="41">
        <f t="shared" ca="1" si="5"/>
        <v>18</v>
      </c>
      <c r="H37" s="41">
        <f t="shared" ca="1" si="6"/>
        <v>234</v>
      </c>
      <c r="I37" s="41">
        <f t="shared" ca="1" si="8"/>
        <v>234</v>
      </c>
      <c r="J37" s="41" t="e">
        <f ca="1">IF(H37=0,0,TableSearch(H37,arrayspace,$J$8,$J$7))</f>
        <v>#NAME?</v>
      </c>
      <c r="K37" s="41" t="e">
        <f t="shared" ca="1" si="7"/>
        <v>#NAME?</v>
      </c>
    </row>
    <row r="38" spans="1:11" x14ac:dyDescent="0.25">
      <c r="A38" t="e">
        <f t="shared" ca="1" si="0"/>
        <v>#NAME?</v>
      </c>
      <c r="B38" t="e">
        <f t="shared" ca="1" si="1"/>
        <v>#NAME?</v>
      </c>
      <c r="C38" t="e">
        <f t="shared" ca="1" si="2"/>
        <v>#NAME?</v>
      </c>
      <c r="D38" t="e">
        <f t="shared" ca="1" si="3"/>
        <v>#NAME?</v>
      </c>
      <c r="E38" t="e">
        <f t="shared" ca="1" si="4"/>
        <v>#NAME?</v>
      </c>
      <c r="F38" s="45" t="s">
        <v>604</v>
      </c>
      <c r="G38" s="41">
        <f t="shared" ca="1" si="5"/>
        <v>29</v>
      </c>
      <c r="H38" s="41">
        <f t="shared" ca="1" si="6"/>
        <v>233</v>
      </c>
      <c r="I38" s="41">
        <f t="shared" ca="1" si="8"/>
        <v>233</v>
      </c>
      <c r="J38" s="41" t="e">
        <f ca="1">IF(H38=0,0,TableSearch(H38,arrayspace,$J$8,$J$7))</f>
        <v>#NAME?</v>
      </c>
      <c r="K38" s="41" t="e">
        <f t="shared" ca="1" si="7"/>
        <v>#NAME?</v>
      </c>
    </row>
    <row r="39" spans="1:11" x14ac:dyDescent="0.25">
      <c r="A39" t="e">
        <f t="shared" ca="1" si="0"/>
        <v>#NAME?</v>
      </c>
      <c r="B39" t="e">
        <f t="shared" ca="1" si="1"/>
        <v>#NAME?</v>
      </c>
      <c r="C39" t="e">
        <f t="shared" ca="1" si="2"/>
        <v>#NAME?</v>
      </c>
      <c r="D39" t="e">
        <f t="shared" ca="1" si="3"/>
        <v>#NAME?</v>
      </c>
      <c r="E39" t="e">
        <f t="shared" ca="1" si="4"/>
        <v>#NAME?</v>
      </c>
      <c r="F39" s="41" t="s">
        <v>605</v>
      </c>
      <c r="G39" s="41">
        <f t="shared" ca="1" si="5"/>
        <v>42</v>
      </c>
      <c r="H39" s="41">
        <f t="shared" ca="1" si="6"/>
        <v>232</v>
      </c>
      <c r="I39" s="41">
        <f t="shared" ca="1" si="8"/>
        <v>232</v>
      </c>
      <c r="J39" s="41" t="e">
        <f ca="1">IF(H39=0,0,TableSearch(H39,arrayspace,$J$8,$J$7))</f>
        <v>#NAME?</v>
      </c>
      <c r="K39" s="41" t="e">
        <f t="shared" ca="1" si="7"/>
        <v>#NAME?</v>
      </c>
    </row>
    <row r="40" spans="1:11" x14ac:dyDescent="0.25">
      <c r="A40" t="e">
        <f t="shared" ca="1" si="0"/>
        <v>#NAME?</v>
      </c>
      <c r="B40" t="e">
        <f t="shared" ca="1" si="1"/>
        <v>#NAME?</v>
      </c>
      <c r="C40" t="e">
        <f t="shared" ca="1" si="2"/>
        <v>#NAME?</v>
      </c>
      <c r="D40" t="e">
        <f t="shared" ca="1" si="3"/>
        <v>#NAME?</v>
      </c>
      <c r="E40" t="e">
        <f t="shared" ca="1" si="4"/>
        <v>#NAME?</v>
      </c>
      <c r="F40" s="45" t="s">
        <v>606</v>
      </c>
      <c r="G40" s="41">
        <f t="shared" ca="1" si="5"/>
        <v>57</v>
      </c>
      <c r="H40" s="41">
        <f t="shared" ca="1" si="6"/>
        <v>231</v>
      </c>
      <c r="I40" s="41">
        <f t="shared" ca="1" si="8"/>
        <v>231</v>
      </c>
      <c r="J40" s="41" t="e">
        <f ca="1">IF(H40=0,0,TableSearch(H40,arrayspace,$J$8,$J$7))</f>
        <v>#NAME?</v>
      </c>
      <c r="K40" s="41" t="e">
        <f t="shared" ca="1" si="7"/>
        <v>#NAME?</v>
      </c>
    </row>
    <row r="41" spans="1:11" x14ac:dyDescent="0.25">
      <c r="A41" t="e">
        <f t="shared" ca="1" si="0"/>
        <v>#NAME?</v>
      </c>
      <c r="B41" t="e">
        <f t="shared" ca="1" si="1"/>
        <v>#NAME?</v>
      </c>
      <c r="C41" t="e">
        <f t="shared" ca="1" si="2"/>
        <v>#NAME?</v>
      </c>
      <c r="D41" t="e">
        <f t="shared" ca="1" si="3"/>
        <v>#NAME?</v>
      </c>
      <c r="E41" t="e">
        <f t="shared" ca="1" si="4"/>
        <v>#NAME?</v>
      </c>
      <c r="F41" s="41" t="s">
        <v>607</v>
      </c>
      <c r="G41" s="41">
        <f t="shared" ca="1" si="5"/>
        <v>30</v>
      </c>
      <c r="H41" s="41">
        <f t="shared" ca="1" si="6"/>
        <v>230</v>
      </c>
      <c r="I41" s="41">
        <f t="shared" ca="1" si="8"/>
        <v>230</v>
      </c>
      <c r="J41" s="41" t="e">
        <f ca="1">IF(H41=0,0,TableSearch(H41,arrayspace,$J$8,$J$7))</f>
        <v>#NAME?</v>
      </c>
      <c r="K41" s="41" t="e">
        <f t="shared" ca="1" si="7"/>
        <v>#NAME?</v>
      </c>
    </row>
    <row r="42" spans="1:11" x14ac:dyDescent="0.25">
      <c r="A42" t="e">
        <f t="shared" ca="1" si="0"/>
        <v>#NAME?</v>
      </c>
      <c r="B42" t="e">
        <f t="shared" ca="1" si="1"/>
        <v>#NAME?</v>
      </c>
      <c r="C42" t="e">
        <f t="shared" ca="1" si="2"/>
        <v>#NAME?</v>
      </c>
      <c r="D42" t="e">
        <f t="shared" ca="1" si="3"/>
        <v>#NAME?</v>
      </c>
      <c r="E42" t="e">
        <f t="shared" ca="1" si="4"/>
        <v>#NAME?</v>
      </c>
      <c r="F42" s="45" t="s">
        <v>608</v>
      </c>
      <c r="G42" s="41">
        <f t="shared" ca="1" si="5"/>
        <v>43</v>
      </c>
      <c r="H42" s="41">
        <f t="shared" ca="1" si="6"/>
        <v>229</v>
      </c>
      <c r="I42" s="41">
        <f t="shared" ca="1" si="8"/>
        <v>229</v>
      </c>
      <c r="J42" s="41" t="e">
        <f ca="1">IF(H42=0,0,TableSearch(H42,arrayspace,$J$8,$J$7))</f>
        <v>#NAME?</v>
      </c>
      <c r="K42" s="41" t="e">
        <f t="shared" ca="1" si="7"/>
        <v>#NAME?</v>
      </c>
    </row>
    <row r="43" spans="1:11" x14ac:dyDescent="0.25">
      <c r="A43" t="e">
        <f t="shared" ca="1" si="0"/>
        <v>#NAME?</v>
      </c>
      <c r="B43" t="e">
        <f t="shared" ca="1" si="1"/>
        <v>#NAME?</v>
      </c>
      <c r="C43" t="e">
        <f t="shared" ca="1" si="2"/>
        <v>#NAME?</v>
      </c>
      <c r="D43" t="e">
        <f t="shared" ca="1" si="3"/>
        <v>#NAME?</v>
      </c>
      <c r="E43" t="e">
        <f t="shared" ca="1" si="4"/>
        <v>#NAME?</v>
      </c>
      <c r="F43" s="41" t="s">
        <v>609</v>
      </c>
      <c r="G43" s="41">
        <f t="shared" ca="1" si="5"/>
        <v>58</v>
      </c>
      <c r="H43" s="41">
        <f t="shared" ca="1" si="6"/>
        <v>228</v>
      </c>
      <c r="I43" s="41">
        <f t="shared" ca="1" si="8"/>
        <v>228</v>
      </c>
      <c r="J43" s="41" t="e">
        <f ca="1">IF(H43=0,0,TableSearch(H43,arrayspace,$J$8,$J$7))</f>
        <v>#NAME?</v>
      </c>
      <c r="K43" s="41" t="e">
        <f t="shared" ca="1" si="7"/>
        <v>#NAME?</v>
      </c>
    </row>
    <row r="44" spans="1:11" x14ac:dyDescent="0.25">
      <c r="A44" t="e">
        <f t="shared" ca="1" si="0"/>
        <v>#NAME?</v>
      </c>
      <c r="B44" t="e">
        <f t="shared" ca="1" si="1"/>
        <v>#NAME?</v>
      </c>
      <c r="C44" t="e">
        <f t="shared" ca="1" si="2"/>
        <v>#NAME?</v>
      </c>
      <c r="D44" t="e">
        <f t="shared" ca="1" si="3"/>
        <v>#NAME?</v>
      </c>
      <c r="E44" t="e">
        <f t="shared" ca="1" si="4"/>
        <v>#NAME?</v>
      </c>
      <c r="F44" s="45" t="s">
        <v>610</v>
      </c>
      <c r="G44" s="41">
        <f t="shared" ca="1" si="5"/>
        <v>44</v>
      </c>
      <c r="H44" s="41">
        <f t="shared" ca="1" si="6"/>
        <v>227</v>
      </c>
      <c r="I44" s="41">
        <f t="shared" ca="1" si="8"/>
        <v>227</v>
      </c>
      <c r="J44" s="41" t="e">
        <f ca="1">IF(H44=0,0,TableSearch(H44,arrayspace,$J$8,$J$7))</f>
        <v>#NAME?</v>
      </c>
      <c r="K44" s="41" t="e">
        <f t="shared" ca="1" si="7"/>
        <v>#NAME?</v>
      </c>
    </row>
    <row r="45" spans="1:11" x14ac:dyDescent="0.25">
      <c r="A45" t="e">
        <f t="shared" ca="1" si="0"/>
        <v>#NAME?</v>
      </c>
      <c r="B45" t="e">
        <f t="shared" ca="1" si="1"/>
        <v>#NAME?</v>
      </c>
      <c r="C45" t="e">
        <f t="shared" ca="1" si="2"/>
        <v>#NAME?</v>
      </c>
      <c r="D45" t="e">
        <f t="shared" ca="1" si="3"/>
        <v>#NAME?</v>
      </c>
      <c r="E45" t="e">
        <f t="shared" ca="1" si="4"/>
        <v>#NAME?</v>
      </c>
      <c r="F45" s="41" t="s">
        <v>611</v>
      </c>
      <c r="G45" s="41">
        <f t="shared" ca="1" si="5"/>
        <v>59</v>
      </c>
      <c r="H45" s="41">
        <f t="shared" ca="1" si="6"/>
        <v>226</v>
      </c>
      <c r="I45" s="41">
        <f t="shared" ca="1" si="8"/>
        <v>226</v>
      </c>
      <c r="J45" s="41" t="e">
        <f ca="1">IF(H45=0,0,TableSearch(H45,arrayspace,$J$8,$J$7))</f>
        <v>#NAME?</v>
      </c>
      <c r="K45" s="41" t="e">
        <f t="shared" ca="1" si="7"/>
        <v>#NAME?</v>
      </c>
    </row>
    <row r="46" spans="1:11" x14ac:dyDescent="0.25">
      <c r="A46" t="e">
        <f t="shared" ca="1" si="0"/>
        <v>#NAME?</v>
      </c>
      <c r="B46" t="e">
        <f t="shared" ca="1" si="1"/>
        <v>#NAME?</v>
      </c>
      <c r="C46" t="e">
        <f t="shared" ca="1" si="2"/>
        <v>#NAME?</v>
      </c>
      <c r="D46" t="e">
        <f t="shared" ca="1" si="3"/>
        <v>#NAME?</v>
      </c>
      <c r="E46" t="e">
        <f t="shared" ca="1" si="4"/>
        <v>#NAME?</v>
      </c>
      <c r="F46" s="45" t="s">
        <v>612</v>
      </c>
      <c r="G46" s="41">
        <f t="shared" ca="1" si="5"/>
        <v>60</v>
      </c>
      <c r="H46" s="41">
        <f t="shared" ca="1" si="6"/>
        <v>225</v>
      </c>
      <c r="I46" s="41">
        <f t="shared" ca="1" si="8"/>
        <v>225</v>
      </c>
      <c r="J46" s="41" t="e">
        <f ca="1">IF(H46=0,0,TableSearch(H46,arrayspace,$J$8,$J$7))</f>
        <v>#NAME?</v>
      </c>
      <c r="K46" s="41" t="e">
        <f t="shared" ca="1" si="7"/>
        <v>#NAME?</v>
      </c>
    </row>
    <row r="47" spans="1:11" x14ac:dyDescent="0.25">
      <c r="A47" t="e">
        <f t="shared" ca="1" si="0"/>
        <v>#NAME?</v>
      </c>
      <c r="B47" t="e">
        <f t="shared" ca="1" si="1"/>
        <v>#NAME?</v>
      </c>
      <c r="C47" t="e">
        <f t="shared" ca="1" si="2"/>
        <v>#NAME?</v>
      </c>
      <c r="D47" t="e">
        <f t="shared" ca="1" si="3"/>
        <v>#NAME?</v>
      </c>
      <c r="E47" t="e">
        <f t="shared" ca="1" si="4"/>
        <v>#NAME?</v>
      </c>
      <c r="F47" s="45" t="s">
        <v>613</v>
      </c>
      <c r="G47" s="41">
        <f t="shared" ca="1" si="5"/>
        <v>124</v>
      </c>
      <c r="H47" s="41">
        <f t="shared" ca="1" si="6"/>
        <v>224</v>
      </c>
      <c r="I47" s="41">
        <f t="shared" ca="1" si="8"/>
        <v>224</v>
      </c>
      <c r="J47" s="41" t="e">
        <f ca="1">IF(H47=0,0,TableSearch(H47,arrayspace,$J$8,$J$7))</f>
        <v>#NAME?</v>
      </c>
      <c r="K47" s="41" t="e">
        <f t="shared" ca="1" si="7"/>
        <v>#NAME?</v>
      </c>
    </row>
    <row r="48" spans="1:11" x14ac:dyDescent="0.25">
      <c r="A48" t="e">
        <f t="shared" ca="1" si="0"/>
        <v>#NAME?</v>
      </c>
      <c r="B48" t="e">
        <f t="shared" ca="1" si="1"/>
        <v>#NAME?</v>
      </c>
      <c r="C48" t="e">
        <f t="shared" ca="1" si="2"/>
        <v>#NAME?</v>
      </c>
      <c r="D48" t="e">
        <f t="shared" ca="1" si="3"/>
        <v>#NAME?</v>
      </c>
      <c r="E48" t="e">
        <f t="shared" ca="1" si="4"/>
        <v>#NAME?</v>
      </c>
      <c r="F48" s="45" t="s">
        <v>614</v>
      </c>
      <c r="G48" s="41">
        <f t="shared" ca="1" si="5"/>
        <v>106</v>
      </c>
      <c r="H48" s="41">
        <f t="shared" ca="1" si="6"/>
        <v>223</v>
      </c>
      <c r="I48" s="41">
        <f t="shared" ca="1" si="8"/>
        <v>223</v>
      </c>
      <c r="J48" s="41" t="e">
        <f ca="1">IF(H48=0,0,TableSearch(H48,arrayspace,$J$8,$J$7))</f>
        <v>#NAME?</v>
      </c>
      <c r="K48" s="41" t="e">
        <f t="shared" ca="1" si="7"/>
        <v>#NAME?</v>
      </c>
    </row>
    <row r="49" spans="1:11" x14ac:dyDescent="0.25">
      <c r="A49" t="e">
        <f t="shared" ca="1" si="0"/>
        <v>#NAME?</v>
      </c>
      <c r="B49" t="e">
        <f t="shared" ca="1" si="1"/>
        <v>#NAME?</v>
      </c>
      <c r="C49" t="e">
        <f t="shared" ca="1" si="2"/>
        <v>#NAME?</v>
      </c>
      <c r="D49" t="e">
        <f t="shared" ca="1" si="3"/>
        <v>#NAME?</v>
      </c>
      <c r="E49" t="e">
        <f t="shared" ca="1" si="4"/>
        <v>#NAME?</v>
      </c>
      <c r="F49" s="45" t="s">
        <v>615</v>
      </c>
      <c r="G49" s="41">
        <f t="shared" ca="1" si="5"/>
        <v>88</v>
      </c>
      <c r="H49" s="41">
        <f t="shared" ca="1" si="6"/>
        <v>222</v>
      </c>
      <c r="I49" s="41">
        <f t="shared" ca="1" si="8"/>
        <v>222</v>
      </c>
      <c r="J49" s="41" t="e">
        <f ca="1">IF(H49=0,0,TableSearch(H49,arrayspace,$J$8,$J$7))</f>
        <v>#NAME?</v>
      </c>
      <c r="K49" s="41" t="e">
        <f t="shared" ca="1" si="7"/>
        <v>#NAME?</v>
      </c>
    </row>
    <row r="50" spans="1:11" x14ac:dyDescent="0.25">
      <c r="A50" t="e">
        <f t="shared" ca="1" si="0"/>
        <v>#NAME?</v>
      </c>
      <c r="B50" t="e">
        <f t="shared" ca="1" si="1"/>
        <v>#NAME?</v>
      </c>
      <c r="C50" t="e">
        <f t="shared" ca="1" si="2"/>
        <v>#NAME?</v>
      </c>
      <c r="D50" t="e">
        <f t="shared" ca="1" si="3"/>
        <v>#NAME?</v>
      </c>
      <c r="E50" t="e">
        <f t="shared" ca="1" si="4"/>
        <v>#NAME?</v>
      </c>
      <c r="F50" s="45" t="s">
        <v>616</v>
      </c>
      <c r="G50" s="41">
        <f t="shared" ca="1" si="5"/>
        <v>125</v>
      </c>
      <c r="H50" s="41">
        <f t="shared" ca="1" si="6"/>
        <v>221</v>
      </c>
      <c r="I50" s="41">
        <f t="shared" ca="1" si="8"/>
        <v>221</v>
      </c>
      <c r="J50" s="41" t="e">
        <f ca="1">IF(H50=0,0,TableSearch(H50,arrayspace,$J$8,$J$7))</f>
        <v>#NAME?</v>
      </c>
      <c r="K50" s="41" t="e">
        <f t="shared" ca="1" si="7"/>
        <v>#NAME?</v>
      </c>
    </row>
    <row r="51" spans="1:11" x14ac:dyDescent="0.25">
      <c r="A51" t="e">
        <f t="shared" ca="1" si="0"/>
        <v>#NAME?</v>
      </c>
      <c r="B51" t="e">
        <f t="shared" ca="1" si="1"/>
        <v>#NAME?</v>
      </c>
      <c r="C51" t="e">
        <f t="shared" ca="1" si="2"/>
        <v>#NAME?</v>
      </c>
      <c r="D51" t="e">
        <f t="shared" ca="1" si="3"/>
        <v>#NAME?</v>
      </c>
      <c r="E51" t="e">
        <f t="shared" ca="1" si="4"/>
        <v>#NAME?</v>
      </c>
      <c r="F51" s="45" t="s">
        <v>617</v>
      </c>
      <c r="G51" s="41">
        <f t="shared" ca="1" si="5"/>
        <v>107</v>
      </c>
      <c r="H51" s="41">
        <f t="shared" ca="1" si="6"/>
        <v>220</v>
      </c>
      <c r="I51" s="41">
        <f t="shared" ca="1" si="8"/>
        <v>220</v>
      </c>
      <c r="J51" s="41" t="e">
        <f ca="1">IF(H51=0,0,TableSearch(H51,arrayspace,$J$8,$J$7))</f>
        <v>#NAME?</v>
      </c>
      <c r="K51" s="41" t="e">
        <f t="shared" ca="1" si="7"/>
        <v>#NAME?</v>
      </c>
    </row>
    <row r="52" spans="1:11" x14ac:dyDescent="0.25">
      <c r="A52" t="e">
        <f t="shared" ca="1" si="0"/>
        <v>#NAME?</v>
      </c>
      <c r="B52" t="e">
        <f t="shared" ca="1" si="1"/>
        <v>#NAME?</v>
      </c>
      <c r="C52" t="e">
        <f t="shared" ca="1" si="2"/>
        <v>#NAME?</v>
      </c>
      <c r="D52" t="e">
        <f t="shared" ca="1" si="3"/>
        <v>#NAME?</v>
      </c>
      <c r="E52" t="e">
        <f t="shared" ca="1" si="4"/>
        <v>#NAME?</v>
      </c>
      <c r="F52" s="45" t="s">
        <v>618</v>
      </c>
      <c r="G52" s="41">
        <f t="shared" ca="1" si="5"/>
        <v>89</v>
      </c>
      <c r="H52" s="41">
        <f t="shared" ca="1" si="6"/>
        <v>219</v>
      </c>
      <c r="I52" s="41">
        <f t="shared" ca="1" si="8"/>
        <v>219</v>
      </c>
      <c r="J52" s="41" t="e">
        <f ca="1">IF(H52=0,0,TableSearch(H52,arrayspace,$J$8,$J$7))</f>
        <v>#NAME?</v>
      </c>
      <c r="K52" s="41" t="e">
        <f t="shared" ca="1" si="7"/>
        <v>#NAME?</v>
      </c>
    </row>
    <row r="53" spans="1:11" x14ac:dyDescent="0.25">
      <c r="A53" t="e">
        <f t="shared" ca="1" si="0"/>
        <v>#NAME?</v>
      </c>
      <c r="B53" t="e">
        <f t="shared" ca="1" si="1"/>
        <v>#NAME?</v>
      </c>
      <c r="C53" t="e">
        <f t="shared" ca="1" si="2"/>
        <v>#NAME?</v>
      </c>
      <c r="D53" t="e">
        <f t="shared" ca="1" si="3"/>
        <v>#NAME?</v>
      </c>
      <c r="E53" t="e">
        <f t="shared" ca="1" si="4"/>
        <v>#NAME?</v>
      </c>
      <c r="F53" s="45" t="s">
        <v>619</v>
      </c>
      <c r="G53" s="41">
        <f t="shared" ca="1" si="5"/>
        <v>126</v>
      </c>
      <c r="H53" s="41">
        <f t="shared" ca="1" si="6"/>
        <v>218</v>
      </c>
      <c r="I53" s="41">
        <f t="shared" ca="1" si="8"/>
        <v>218</v>
      </c>
      <c r="J53" s="41" t="e">
        <f ca="1">IF(H53=0,0,TableSearch(H53,arrayspace,$J$8,$J$7))</f>
        <v>#NAME?</v>
      </c>
      <c r="K53" s="41" t="e">
        <f t="shared" ca="1" si="7"/>
        <v>#NAME?</v>
      </c>
    </row>
    <row r="54" spans="1:11" x14ac:dyDescent="0.25">
      <c r="A54" t="e">
        <f t="shared" ca="1" si="0"/>
        <v>#NAME?</v>
      </c>
      <c r="B54" t="e">
        <f t="shared" ca="1" si="1"/>
        <v>#NAME?</v>
      </c>
      <c r="C54" t="e">
        <f t="shared" ca="1" si="2"/>
        <v>#NAME?</v>
      </c>
      <c r="D54" t="e">
        <f t="shared" ca="1" si="3"/>
        <v>#NAME?</v>
      </c>
      <c r="E54" t="e">
        <f t="shared" ca="1" si="4"/>
        <v>#NAME?</v>
      </c>
      <c r="F54" s="45" t="s">
        <v>620</v>
      </c>
      <c r="G54" s="41">
        <f t="shared" ca="1" si="5"/>
        <v>108</v>
      </c>
      <c r="H54" s="41">
        <f t="shared" ca="1" si="6"/>
        <v>217</v>
      </c>
      <c r="I54" s="41">
        <f t="shared" ca="1" si="8"/>
        <v>217</v>
      </c>
      <c r="J54" s="41" t="e">
        <f ca="1">IF(H54=0,0,TableSearch(H54,arrayspace,$J$8,$J$7))</f>
        <v>#NAME?</v>
      </c>
      <c r="K54" s="41" t="e">
        <f t="shared" ca="1" si="7"/>
        <v>#NAME?</v>
      </c>
    </row>
    <row r="55" spans="1:11" x14ac:dyDescent="0.25">
      <c r="A55" t="e">
        <f t="shared" ca="1" si="0"/>
        <v>#NAME?</v>
      </c>
      <c r="B55" t="e">
        <f t="shared" ca="1" si="1"/>
        <v>#NAME?</v>
      </c>
      <c r="C55" t="e">
        <f t="shared" ca="1" si="2"/>
        <v>#NAME?</v>
      </c>
      <c r="D55" t="e">
        <f t="shared" ca="1" si="3"/>
        <v>#NAME?</v>
      </c>
      <c r="E55" t="e">
        <f t="shared" ca="1" si="4"/>
        <v>#NAME?</v>
      </c>
      <c r="F55" s="45" t="s">
        <v>621</v>
      </c>
      <c r="G55" s="41">
        <f t="shared" ca="1" si="5"/>
        <v>90</v>
      </c>
      <c r="H55" s="41">
        <f t="shared" ca="1" si="6"/>
        <v>216</v>
      </c>
      <c r="I55" s="41">
        <f t="shared" ca="1" si="8"/>
        <v>216</v>
      </c>
      <c r="J55" s="41" t="e">
        <f ca="1">IF(H55=0,0,TableSearch(H55,arrayspace,$J$8,$J$7))</f>
        <v>#NAME?</v>
      </c>
      <c r="K55" s="41" t="e">
        <f t="shared" ca="1" si="7"/>
        <v>#NAME?</v>
      </c>
    </row>
    <row r="56" spans="1:11" x14ac:dyDescent="0.25">
      <c r="A56" t="e">
        <f t="shared" ca="1" si="0"/>
        <v>#NAME?</v>
      </c>
      <c r="B56" t="e">
        <f t="shared" ca="1" si="1"/>
        <v>#NAME?</v>
      </c>
      <c r="C56" t="e">
        <f t="shared" ca="1" si="2"/>
        <v>#NAME?</v>
      </c>
      <c r="D56" t="e">
        <f t="shared" ca="1" si="3"/>
        <v>#NAME?</v>
      </c>
      <c r="E56" t="e">
        <f t="shared" ca="1" si="4"/>
        <v>#NAME?</v>
      </c>
      <c r="F56" s="45" t="s">
        <v>622</v>
      </c>
      <c r="G56" s="41">
        <f t="shared" ca="1" si="5"/>
        <v>72</v>
      </c>
      <c r="H56" s="41">
        <f t="shared" ca="1" si="6"/>
        <v>215</v>
      </c>
      <c r="I56" s="41">
        <f t="shared" ca="1" si="8"/>
        <v>215</v>
      </c>
      <c r="J56" s="41" t="e">
        <f ca="1">IF(H56=0,0,TableSearch(H56,arrayspace,$J$8,$J$7))</f>
        <v>#NAME?</v>
      </c>
      <c r="K56" s="41" t="e">
        <f t="shared" ca="1" si="7"/>
        <v>#NAME?</v>
      </c>
    </row>
    <row r="57" spans="1:11" x14ac:dyDescent="0.25">
      <c r="A57" t="e">
        <f t="shared" ca="1" si="0"/>
        <v>#NAME?</v>
      </c>
      <c r="B57" t="e">
        <f t="shared" ca="1" si="1"/>
        <v>#NAME?</v>
      </c>
      <c r="C57" t="e">
        <f t="shared" ca="1" si="2"/>
        <v>#NAME?</v>
      </c>
      <c r="D57" t="e">
        <f t="shared" ca="1" si="3"/>
        <v>#NAME?</v>
      </c>
      <c r="E57" t="e">
        <f t="shared" ca="1" si="4"/>
        <v>#NAME?</v>
      </c>
      <c r="F57" s="45" t="s">
        <v>623</v>
      </c>
      <c r="G57" s="41">
        <f t="shared" ca="1" si="5"/>
        <v>127</v>
      </c>
      <c r="H57" s="41">
        <f t="shared" ca="1" si="6"/>
        <v>214</v>
      </c>
      <c r="I57" s="41">
        <f t="shared" ca="1" si="8"/>
        <v>214</v>
      </c>
      <c r="J57" s="41" t="e">
        <f ca="1">IF(H57=0,0,TableSearch(H57,arrayspace,$J$8,$J$7))</f>
        <v>#NAME?</v>
      </c>
      <c r="K57" s="41" t="e">
        <f t="shared" ca="1" si="7"/>
        <v>#NAME?</v>
      </c>
    </row>
    <row r="58" spans="1:11" x14ac:dyDescent="0.25">
      <c r="A58" t="e">
        <f t="shared" ca="1" si="0"/>
        <v>#NAME?</v>
      </c>
      <c r="B58" t="e">
        <f t="shared" ca="1" si="1"/>
        <v>#NAME?</v>
      </c>
      <c r="C58" t="e">
        <f t="shared" ca="1" si="2"/>
        <v>#NAME?</v>
      </c>
      <c r="D58" t="e">
        <f t="shared" ca="1" si="3"/>
        <v>#NAME?</v>
      </c>
      <c r="E58" t="e">
        <f t="shared" ca="1" si="4"/>
        <v>#NAME?</v>
      </c>
      <c r="F58" s="45" t="s">
        <v>624</v>
      </c>
      <c r="G58" s="41">
        <f t="shared" ca="1" si="5"/>
        <v>109</v>
      </c>
      <c r="H58" s="41">
        <f t="shared" ca="1" si="6"/>
        <v>213</v>
      </c>
      <c r="I58" s="41">
        <f t="shared" ca="1" si="8"/>
        <v>213</v>
      </c>
      <c r="J58" s="41" t="e">
        <f ca="1">IF(H58=0,0,TableSearch(H58,arrayspace,$J$8,$J$7))</f>
        <v>#NAME?</v>
      </c>
      <c r="K58" s="41" t="e">
        <f t="shared" ca="1" si="7"/>
        <v>#NAME?</v>
      </c>
    </row>
    <row r="59" spans="1:11" x14ac:dyDescent="0.25">
      <c r="A59" t="e">
        <f t="shared" ca="1" si="0"/>
        <v>#NAME?</v>
      </c>
      <c r="B59" t="e">
        <f t="shared" ca="1" si="1"/>
        <v>#NAME?</v>
      </c>
      <c r="C59" t="e">
        <f t="shared" ca="1" si="2"/>
        <v>#NAME?</v>
      </c>
      <c r="D59" t="e">
        <f t="shared" ca="1" si="3"/>
        <v>#NAME?</v>
      </c>
      <c r="E59" t="e">
        <f t="shared" ca="1" si="4"/>
        <v>#NAME?</v>
      </c>
      <c r="F59" s="45" t="s">
        <v>625</v>
      </c>
      <c r="G59" s="41">
        <f t="shared" ca="1" si="5"/>
        <v>91</v>
      </c>
      <c r="H59" s="41">
        <f t="shared" ca="1" si="6"/>
        <v>212</v>
      </c>
      <c r="I59" s="41">
        <f t="shared" ca="1" si="8"/>
        <v>212</v>
      </c>
      <c r="J59" s="41" t="e">
        <f ca="1">IF(H59=0,0,TableSearch(H59,arrayspace,$J$8,$J$7))</f>
        <v>#NAME?</v>
      </c>
      <c r="K59" s="41" t="e">
        <f t="shared" ca="1" si="7"/>
        <v>#NAME?</v>
      </c>
    </row>
    <row r="60" spans="1:11" x14ac:dyDescent="0.25">
      <c r="A60" t="e">
        <f t="shared" ca="1" si="0"/>
        <v>#NAME?</v>
      </c>
      <c r="B60" t="e">
        <f t="shared" ca="1" si="1"/>
        <v>#NAME?</v>
      </c>
      <c r="C60" t="e">
        <f t="shared" ca="1" si="2"/>
        <v>#NAME?</v>
      </c>
      <c r="D60" t="e">
        <f t="shared" ca="1" si="3"/>
        <v>#NAME?</v>
      </c>
      <c r="E60" t="e">
        <f t="shared" ca="1" si="4"/>
        <v>#NAME?</v>
      </c>
      <c r="F60" s="45" t="s">
        <v>626</v>
      </c>
      <c r="G60" s="41">
        <f t="shared" ca="1" si="5"/>
        <v>73</v>
      </c>
      <c r="H60" s="41">
        <f t="shared" ca="1" si="6"/>
        <v>211</v>
      </c>
      <c r="I60" s="41">
        <f t="shared" ca="1" si="8"/>
        <v>211</v>
      </c>
      <c r="J60" s="41" t="e">
        <f ca="1">IF(H60=0,0,TableSearch(H60,arrayspace,$J$8,$J$7))</f>
        <v>#NAME?</v>
      </c>
      <c r="K60" s="41" t="e">
        <f t="shared" ca="1" si="7"/>
        <v>#NAME?</v>
      </c>
    </row>
    <row r="61" spans="1:11" x14ac:dyDescent="0.25">
      <c r="A61" t="e">
        <f t="shared" ca="1" si="0"/>
        <v>#NAME?</v>
      </c>
      <c r="B61" t="e">
        <f t="shared" ca="1" si="1"/>
        <v>#NAME?</v>
      </c>
      <c r="C61" t="e">
        <f t="shared" ca="1" si="2"/>
        <v>#NAME?</v>
      </c>
      <c r="D61" t="e">
        <f t="shared" ca="1" si="3"/>
        <v>#NAME?</v>
      </c>
      <c r="E61" t="e">
        <f t="shared" ca="1" si="4"/>
        <v>#NAME?</v>
      </c>
      <c r="F61" s="45" t="s">
        <v>627</v>
      </c>
      <c r="G61" s="41">
        <f t="shared" ca="1" si="5"/>
        <v>128</v>
      </c>
      <c r="H61" s="41">
        <f t="shared" ca="1" si="6"/>
        <v>210</v>
      </c>
      <c r="I61" s="41">
        <f t="shared" ca="1" si="8"/>
        <v>210</v>
      </c>
      <c r="J61" s="41" t="e">
        <f ca="1">IF(H61=0,0,TableSearch(H61,arrayspace,$J$8,$J$7))</f>
        <v>#NAME?</v>
      </c>
      <c r="K61" s="41" t="e">
        <f t="shared" ca="1" si="7"/>
        <v>#NAME?</v>
      </c>
    </row>
    <row r="62" spans="1:11" x14ac:dyDescent="0.25">
      <c r="A62" t="e">
        <f t="shared" ca="1" si="0"/>
        <v>#NAME?</v>
      </c>
      <c r="B62" t="e">
        <f t="shared" ca="1" si="1"/>
        <v>#NAME?</v>
      </c>
      <c r="C62" t="e">
        <f t="shared" ca="1" si="2"/>
        <v>#NAME?</v>
      </c>
      <c r="D62" t="e">
        <f t="shared" ca="1" si="3"/>
        <v>#NAME?</v>
      </c>
      <c r="E62" t="e">
        <f t="shared" ca="1" si="4"/>
        <v>#NAME?</v>
      </c>
      <c r="F62" s="45" t="s">
        <v>628</v>
      </c>
      <c r="G62" s="41">
        <f t="shared" ca="1" si="5"/>
        <v>110</v>
      </c>
      <c r="H62" s="41">
        <f t="shared" ca="1" si="6"/>
        <v>209</v>
      </c>
      <c r="I62" s="41">
        <f t="shared" ca="1" si="8"/>
        <v>209</v>
      </c>
      <c r="J62" s="41" t="e">
        <f ca="1">IF(H62=0,0,TableSearch(H62,arrayspace,$J$8,$J$7))</f>
        <v>#NAME?</v>
      </c>
      <c r="K62" s="41" t="e">
        <f t="shared" ca="1" si="7"/>
        <v>#NAME?</v>
      </c>
    </row>
    <row r="63" spans="1:11" x14ac:dyDescent="0.25">
      <c r="A63" t="e">
        <f t="shared" ca="1" si="0"/>
        <v>#NAME?</v>
      </c>
      <c r="B63" t="e">
        <f t="shared" ca="1" si="1"/>
        <v>#NAME?</v>
      </c>
      <c r="C63" t="e">
        <f t="shared" ca="1" si="2"/>
        <v>#NAME?</v>
      </c>
      <c r="D63" t="e">
        <f t="shared" ca="1" si="3"/>
        <v>#NAME?</v>
      </c>
      <c r="E63" t="e">
        <f t="shared" ca="1" si="4"/>
        <v>#NAME?</v>
      </c>
      <c r="F63" s="45" t="s">
        <v>629</v>
      </c>
      <c r="G63" s="41">
        <f t="shared" ca="1" si="5"/>
        <v>92</v>
      </c>
      <c r="H63" s="41">
        <f t="shared" ca="1" si="6"/>
        <v>208</v>
      </c>
      <c r="I63" s="41">
        <f t="shared" ca="1" si="8"/>
        <v>208</v>
      </c>
      <c r="J63" s="41" t="e">
        <f ca="1">IF(H63=0,0,TableSearch(H63,arrayspace,$J$8,$J$7))</f>
        <v>#NAME?</v>
      </c>
      <c r="K63" s="41" t="e">
        <f t="shared" ca="1" si="7"/>
        <v>#NAME?</v>
      </c>
    </row>
    <row r="64" spans="1:11" x14ac:dyDescent="0.25">
      <c r="A64" t="e">
        <f t="shared" ca="1" si="0"/>
        <v>#NAME?</v>
      </c>
      <c r="B64" t="e">
        <f t="shared" ca="1" si="1"/>
        <v>#NAME?</v>
      </c>
      <c r="C64" t="e">
        <f t="shared" ca="1" si="2"/>
        <v>#NAME?</v>
      </c>
      <c r="D64" t="e">
        <f t="shared" ca="1" si="3"/>
        <v>#NAME?</v>
      </c>
      <c r="E64" t="e">
        <f t="shared" ca="1" si="4"/>
        <v>#NAME?</v>
      </c>
      <c r="F64" s="45" t="s">
        <v>630</v>
      </c>
      <c r="G64" s="41">
        <f t="shared" ca="1" si="5"/>
        <v>74</v>
      </c>
      <c r="H64" s="41">
        <f t="shared" ca="1" si="6"/>
        <v>207</v>
      </c>
      <c r="I64" s="41">
        <f t="shared" ca="1" si="8"/>
        <v>207</v>
      </c>
      <c r="J64" s="41" t="e">
        <f ca="1">IF(H64=0,0,TableSearch(H64,arrayspace,$J$8,$J$7))</f>
        <v>#NAME?</v>
      </c>
      <c r="K64" s="41" t="e">
        <f t="shared" ca="1" si="7"/>
        <v>#NAME?</v>
      </c>
    </row>
    <row r="65" spans="1:11" x14ac:dyDescent="0.25">
      <c r="A65" t="e">
        <f t="shared" ca="1" si="0"/>
        <v>#NAME?</v>
      </c>
      <c r="B65" t="e">
        <f t="shared" ca="1" si="1"/>
        <v>#NAME?</v>
      </c>
      <c r="C65" t="e">
        <f t="shared" ca="1" si="2"/>
        <v>#NAME?</v>
      </c>
      <c r="D65" t="e">
        <f t="shared" ca="1" si="3"/>
        <v>#NAME?</v>
      </c>
      <c r="E65" t="e">
        <f t="shared" ca="1" si="4"/>
        <v>#NAME?</v>
      </c>
      <c r="F65" s="45" t="s">
        <v>631</v>
      </c>
      <c r="G65" s="41">
        <f t="shared" ca="1" si="5"/>
        <v>129</v>
      </c>
      <c r="H65" s="41">
        <f t="shared" ca="1" si="6"/>
        <v>206</v>
      </c>
      <c r="I65" s="41">
        <f t="shared" ca="1" si="8"/>
        <v>206</v>
      </c>
      <c r="J65" s="41" t="e">
        <f ca="1">IF(H65=0,0,TableSearch(H65,arrayspace,$J$8,$J$7))</f>
        <v>#NAME?</v>
      </c>
      <c r="K65" s="41" t="e">
        <f t="shared" ca="1" si="7"/>
        <v>#NAME?</v>
      </c>
    </row>
    <row r="66" spans="1:11" x14ac:dyDescent="0.25">
      <c r="A66" t="e">
        <f t="shared" ca="1" si="0"/>
        <v>#NAME?</v>
      </c>
      <c r="B66" t="e">
        <f t="shared" ca="1" si="1"/>
        <v>#NAME?</v>
      </c>
      <c r="C66" t="e">
        <f t="shared" ca="1" si="2"/>
        <v>#NAME?</v>
      </c>
      <c r="D66" t="e">
        <f t="shared" ca="1" si="3"/>
        <v>#NAME?</v>
      </c>
      <c r="E66" t="e">
        <f t="shared" ca="1" si="4"/>
        <v>#NAME?</v>
      </c>
      <c r="F66" s="45" t="s">
        <v>632</v>
      </c>
      <c r="G66" s="41">
        <f t="shared" ca="1" si="5"/>
        <v>111</v>
      </c>
      <c r="H66" s="41">
        <f t="shared" ca="1" si="6"/>
        <v>205</v>
      </c>
      <c r="I66" s="41">
        <f t="shared" ca="1" si="8"/>
        <v>205</v>
      </c>
      <c r="J66" s="41" t="e">
        <f ca="1">IF(H66=0,0,TableSearch(H66,arrayspace,$J$8,$J$7))</f>
        <v>#NAME?</v>
      </c>
      <c r="K66" s="41" t="e">
        <f t="shared" ca="1" si="7"/>
        <v>#NAME?</v>
      </c>
    </row>
    <row r="67" spans="1:11" x14ac:dyDescent="0.25">
      <c r="A67" t="e">
        <f t="shared" ca="1" si="0"/>
        <v>#NAME?</v>
      </c>
      <c r="B67" t="e">
        <f t="shared" ca="1" si="1"/>
        <v>#NAME?</v>
      </c>
      <c r="C67" t="e">
        <f t="shared" ca="1" si="2"/>
        <v>#NAME?</v>
      </c>
      <c r="D67" t="e">
        <f t="shared" ca="1" si="3"/>
        <v>#NAME?</v>
      </c>
      <c r="E67" t="e">
        <f t="shared" ca="1" si="4"/>
        <v>#NAME?</v>
      </c>
      <c r="F67" s="45" t="s">
        <v>633</v>
      </c>
      <c r="G67" s="41">
        <f t="shared" ca="1" si="5"/>
        <v>93</v>
      </c>
      <c r="H67" s="41">
        <f t="shared" ca="1" si="6"/>
        <v>204</v>
      </c>
      <c r="I67" s="41">
        <f t="shared" ca="1" si="8"/>
        <v>204</v>
      </c>
      <c r="J67" s="41" t="e">
        <f ca="1">IF(H67=0,0,TableSearch(H67,arrayspace,$J$8,$J$7))</f>
        <v>#NAME?</v>
      </c>
      <c r="K67" s="41" t="e">
        <f t="shared" ca="1" si="7"/>
        <v>#NAME?</v>
      </c>
    </row>
    <row r="68" spans="1:11" x14ac:dyDescent="0.25">
      <c r="A68" t="e">
        <f t="shared" ca="1" si="0"/>
        <v>#NAME?</v>
      </c>
      <c r="B68" t="e">
        <f t="shared" ca="1" si="1"/>
        <v>#NAME?</v>
      </c>
      <c r="C68" t="e">
        <f t="shared" ca="1" si="2"/>
        <v>#NAME?</v>
      </c>
      <c r="D68" t="e">
        <f t="shared" ca="1" si="3"/>
        <v>#NAME?</v>
      </c>
      <c r="E68" t="e">
        <f t="shared" ca="1" si="4"/>
        <v>#NAME?</v>
      </c>
      <c r="F68" s="45" t="s">
        <v>634</v>
      </c>
      <c r="G68" s="41">
        <f t="shared" ca="1" si="5"/>
        <v>75</v>
      </c>
      <c r="H68" s="41">
        <f t="shared" ca="1" si="6"/>
        <v>203</v>
      </c>
      <c r="I68" s="41">
        <f t="shared" ca="1" si="8"/>
        <v>203</v>
      </c>
      <c r="J68" s="41" t="e">
        <f ca="1">IF(H68=0,0,TableSearch(H68,arrayspace,$J$8,$J$7))</f>
        <v>#NAME?</v>
      </c>
      <c r="K68" s="41" t="e">
        <f t="shared" ca="1" si="7"/>
        <v>#NAME?</v>
      </c>
    </row>
    <row r="69" spans="1:11" x14ac:dyDescent="0.25">
      <c r="A69" t="e">
        <f t="shared" ca="1" si="0"/>
        <v>#NAME?</v>
      </c>
      <c r="B69" t="e">
        <f t="shared" ca="1" si="1"/>
        <v>#NAME?</v>
      </c>
      <c r="C69" t="e">
        <f t="shared" ca="1" si="2"/>
        <v>#NAME?</v>
      </c>
      <c r="D69" t="e">
        <f t="shared" ca="1" si="3"/>
        <v>#NAME?</v>
      </c>
      <c r="E69" t="e">
        <f t="shared" ca="1" si="4"/>
        <v>#NAME?</v>
      </c>
      <c r="F69" s="45" t="s">
        <v>635</v>
      </c>
      <c r="G69" s="41">
        <f t="shared" ca="1" si="5"/>
        <v>130</v>
      </c>
      <c r="H69" s="41">
        <f t="shared" ca="1" si="6"/>
        <v>202</v>
      </c>
      <c r="I69" s="41">
        <f t="shared" ca="1" si="8"/>
        <v>202</v>
      </c>
      <c r="J69" s="41" t="e">
        <f ca="1">IF(H69=0,0,TableSearch(H69,arrayspace,$J$8,$J$7))</f>
        <v>#NAME?</v>
      </c>
      <c r="K69" s="41" t="e">
        <f t="shared" ca="1" si="7"/>
        <v>#NAME?</v>
      </c>
    </row>
    <row r="70" spans="1:11" x14ac:dyDescent="0.25">
      <c r="A70" t="e">
        <f t="shared" ca="1" si="0"/>
        <v>#NAME?</v>
      </c>
      <c r="B70" t="e">
        <f t="shared" ca="1" si="1"/>
        <v>#NAME?</v>
      </c>
      <c r="C70" t="e">
        <f t="shared" ca="1" si="2"/>
        <v>#NAME?</v>
      </c>
      <c r="D70" t="e">
        <f t="shared" ca="1" si="3"/>
        <v>#NAME?</v>
      </c>
      <c r="E70" t="e">
        <f t="shared" ca="1" si="4"/>
        <v>#NAME?</v>
      </c>
      <c r="F70" s="45" t="s">
        <v>636</v>
      </c>
      <c r="G70" s="41">
        <f t="shared" ca="1" si="5"/>
        <v>112</v>
      </c>
      <c r="H70" s="41">
        <f t="shared" ca="1" si="6"/>
        <v>201</v>
      </c>
      <c r="I70" s="41">
        <f t="shared" ca="1" si="8"/>
        <v>201</v>
      </c>
      <c r="J70" s="41" t="e">
        <f ca="1">IF(H70=0,0,TableSearch(H70,arrayspace,$J$8,$J$7))</f>
        <v>#NAME?</v>
      </c>
      <c r="K70" s="41" t="e">
        <f t="shared" ca="1" si="7"/>
        <v>#NAME?</v>
      </c>
    </row>
    <row r="71" spans="1:11" x14ac:dyDescent="0.25">
      <c r="A71" t="e">
        <f t="shared" ca="1" si="0"/>
        <v>#NAME?</v>
      </c>
      <c r="B71" t="e">
        <f t="shared" ca="1" si="1"/>
        <v>#NAME?</v>
      </c>
      <c r="C71" t="e">
        <f t="shared" ca="1" si="2"/>
        <v>#NAME?</v>
      </c>
      <c r="D71" t="e">
        <f t="shared" ca="1" si="3"/>
        <v>#NAME?</v>
      </c>
      <c r="E71" t="e">
        <f t="shared" ca="1" si="4"/>
        <v>#NAME?</v>
      </c>
      <c r="F71" s="45" t="s">
        <v>637</v>
      </c>
      <c r="G71" s="41">
        <f t="shared" ca="1" si="5"/>
        <v>94</v>
      </c>
      <c r="H71" s="41">
        <f t="shared" ca="1" si="6"/>
        <v>200</v>
      </c>
      <c r="I71" s="41">
        <f t="shared" ca="1" si="8"/>
        <v>200</v>
      </c>
      <c r="J71" s="41" t="e">
        <f ca="1">IF(H71=0,0,TableSearch(H71,arrayspace,$J$8,$J$7))</f>
        <v>#NAME?</v>
      </c>
      <c r="K71" s="41" t="e">
        <f t="shared" ca="1" si="7"/>
        <v>#NAME?</v>
      </c>
    </row>
    <row r="72" spans="1:11" x14ac:dyDescent="0.25">
      <c r="A72" t="e">
        <f t="shared" ca="1" si="0"/>
        <v>#NAME?</v>
      </c>
      <c r="B72" t="e">
        <f t="shared" ca="1" si="1"/>
        <v>#NAME?</v>
      </c>
      <c r="C72" t="e">
        <f t="shared" ca="1" si="2"/>
        <v>#NAME?</v>
      </c>
      <c r="D72" t="e">
        <f t="shared" ca="1" si="3"/>
        <v>#NAME?</v>
      </c>
      <c r="E72" t="e">
        <f t="shared" ca="1" si="4"/>
        <v>#NAME?</v>
      </c>
      <c r="F72" s="45" t="s">
        <v>638</v>
      </c>
      <c r="G72" s="41">
        <f t="shared" ca="1" si="5"/>
        <v>76</v>
      </c>
      <c r="H72" s="41">
        <f t="shared" ca="1" si="6"/>
        <v>199</v>
      </c>
      <c r="I72" s="41">
        <f t="shared" ca="1" si="8"/>
        <v>199</v>
      </c>
      <c r="J72" s="41" t="e">
        <f ca="1">IF(H72=0,0,TableSearch(H72,arrayspace,$J$8,$J$7))</f>
        <v>#NAME?</v>
      </c>
      <c r="K72" s="41" t="e">
        <f t="shared" ca="1" si="7"/>
        <v>#NAME?</v>
      </c>
    </row>
    <row r="73" spans="1:11" x14ac:dyDescent="0.25">
      <c r="A73" t="e">
        <f t="shared" ca="1" si="0"/>
        <v>#NAME?</v>
      </c>
      <c r="B73" t="e">
        <f t="shared" ca="1" si="1"/>
        <v>#NAME?</v>
      </c>
      <c r="C73" t="e">
        <f t="shared" ca="1" si="2"/>
        <v>#NAME?</v>
      </c>
      <c r="D73" t="e">
        <f t="shared" ca="1" si="3"/>
        <v>#NAME?</v>
      </c>
      <c r="E73" t="e">
        <f t="shared" ca="1" si="4"/>
        <v>#NAME?</v>
      </c>
      <c r="F73" s="45" t="s">
        <v>639</v>
      </c>
      <c r="G73" s="41">
        <f t="shared" ca="1" si="5"/>
        <v>113</v>
      </c>
      <c r="H73" s="41">
        <f t="shared" ca="1" si="6"/>
        <v>198</v>
      </c>
      <c r="I73" s="41">
        <f t="shared" ca="1" si="8"/>
        <v>198</v>
      </c>
      <c r="J73" s="41" t="e">
        <f ca="1">IF(H73=0,0,TableSearch(H73,arrayspace,$J$8,$J$7))</f>
        <v>#NAME?</v>
      </c>
      <c r="K73" s="41" t="e">
        <f t="shared" ca="1" si="7"/>
        <v>#NAME?</v>
      </c>
    </row>
    <row r="74" spans="1:11" x14ac:dyDescent="0.25">
      <c r="A74" t="e">
        <f t="shared" ca="1" si="0"/>
        <v>#NAME?</v>
      </c>
      <c r="B74" t="e">
        <f t="shared" ca="1" si="1"/>
        <v>#NAME?</v>
      </c>
      <c r="C74" t="e">
        <f t="shared" ca="1" si="2"/>
        <v>#NAME?</v>
      </c>
      <c r="D74" t="e">
        <f t="shared" ca="1" si="3"/>
        <v>#NAME?</v>
      </c>
      <c r="E74" t="e">
        <f t="shared" ca="1" si="4"/>
        <v>#NAME?</v>
      </c>
      <c r="F74" s="45" t="s">
        <v>640</v>
      </c>
      <c r="G74" s="41">
        <f t="shared" ca="1" si="5"/>
        <v>95</v>
      </c>
      <c r="H74" s="41">
        <f t="shared" ca="1" si="6"/>
        <v>197</v>
      </c>
      <c r="I74" s="41">
        <f t="shared" ca="1" si="8"/>
        <v>197</v>
      </c>
      <c r="J74" s="41" t="e">
        <f ca="1">IF(H74=0,0,TableSearch(H74,arrayspace,$J$8,$J$7))</f>
        <v>#NAME?</v>
      </c>
      <c r="K74" s="41" t="e">
        <f t="shared" ca="1" si="7"/>
        <v>#NAME?</v>
      </c>
    </row>
    <row r="75" spans="1:11" x14ac:dyDescent="0.25">
      <c r="A75" t="e">
        <f t="shared" ca="1" si="0"/>
        <v>#NAME?</v>
      </c>
      <c r="B75" t="e">
        <f t="shared" ca="1" si="1"/>
        <v>#NAME?</v>
      </c>
      <c r="C75" t="e">
        <f t="shared" ca="1" si="2"/>
        <v>#NAME?</v>
      </c>
      <c r="D75" t="e">
        <f t="shared" ca="1" si="3"/>
        <v>#NAME?</v>
      </c>
      <c r="E75" t="e">
        <f t="shared" ca="1" si="4"/>
        <v>#NAME?</v>
      </c>
      <c r="F75" s="45" t="s">
        <v>641</v>
      </c>
      <c r="G75" s="41">
        <f t="shared" ca="1" si="5"/>
        <v>77</v>
      </c>
      <c r="H75" s="41">
        <f t="shared" ca="1" si="6"/>
        <v>196</v>
      </c>
      <c r="I75" s="41">
        <f t="shared" ca="1" si="8"/>
        <v>196</v>
      </c>
      <c r="J75" s="41" t="e">
        <f ca="1">IF(H75=0,0,TableSearch(H75,arrayspace,$J$8,$J$7))</f>
        <v>#NAME?</v>
      </c>
      <c r="K75" s="41" t="e">
        <f t="shared" ca="1" si="7"/>
        <v>#NAME?</v>
      </c>
    </row>
    <row r="76" spans="1:11" x14ac:dyDescent="0.25">
      <c r="A76" t="e">
        <f t="shared" ca="1" si="0"/>
        <v>#NAME?</v>
      </c>
      <c r="B76" t="e">
        <f t="shared" ca="1" si="1"/>
        <v>#NAME?</v>
      </c>
      <c r="C76" t="e">
        <f t="shared" ca="1" si="2"/>
        <v>#NAME?</v>
      </c>
      <c r="D76" t="e">
        <f t="shared" ca="1" si="3"/>
        <v>#NAME?</v>
      </c>
      <c r="E76" t="e">
        <f t="shared" ca="1" si="4"/>
        <v>#NAME?</v>
      </c>
      <c r="F76" s="45" t="s">
        <v>642</v>
      </c>
      <c r="G76" s="41">
        <f t="shared" ca="1" si="5"/>
        <v>114</v>
      </c>
      <c r="H76" s="41">
        <f t="shared" ca="1" si="6"/>
        <v>195</v>
      </c>
      <c r="I76" s="41">
        <f t="shared" ca="1" si="8"/>
        <v>195</v>
      </c>
      <c r="J76" s="41" t="e">
        <f ca="1">IF(H76=0,0,TableSearch(H76,arrayspace,$J$8,$J$7))</f>
        <v>#NAME?</v>
      </c>
      <c r="K76" s="41" t="e">
        <f t="shared" ca="1" si="7"/>
        <v>#NAME?</v>
      </c>
    </row>
    <row r="77" spans="1:11" x14ac:dyDescent="0.25">
      <c r="A77" t="e">
        <f t="shared" ca="1" si="0"/>
        <v>#NAME?</v>
      </c>
      <c r="B77" t="e">
        <f t="shared" ca="1" si="1"/>
        <v>#NAME?</v>
      </c>
      <c r="C77" t="e">
        <f t="shared" ca="1" si="2"/>
        <v>#NAME?</v>
      </c>
      <c r="D77" t="e">
        <f t="shared" ca="1" si="3"/>
        <v>#NAME?</v>
      </c>
      <c r="E77" t="e">
        <f t="shared" ca="1" si="4"/>
        <v>#NAME?</v>
      </c>
      <c r="F77" s="45" t="s">
        <v>643</v>
      </c>
      <c r="G77" s="41">
        <f t="shared" ca="1" si="5"/>
        <v>96</v>
      </c>
      <c r="H77" s="41">
        <f t="shared" ca="1" si="6"/>
        <v>194</v>
      </c>
      <c r="I77" s="41">
        <f t="shared" ca="1" si="8"/>
        <v>194</v>
      </c>
      <c r="J77" s="41" t="e">
        <f ca="1">IF(H77=0,0,TableSearch(H77,arrayspace,$J$8,$J$7))</f>
        <v>#NAME?</v>
      </c>
      <c r="K77" s="41" t="e">
        <f t="shared" ca="1" si="7"/>
        <v>#NAME?</v>
      </c>
    </row>
    <row r="78" spans="1:11" x14ac:dyDescent="0.25">
      <c r="A78" t="e">
        <f t="shared" ca="1" si="0"/>
        <v>#NAME?</v>
      </c>
      <c r="B78" t="e">
        <f t="shared" ca="1" si="1"/>
        <v>#NAME?</v>
      </c>
      <c r="C78" t="e">
        <f t="shared" ca="1" si="2"/>
        <v>#NAME?</v>
      </c>
      <c r="D78" t="e">
        <f t="shared" ca="1" si="3"/>
        <v>#NAME?</v>
      </c>
      <c r="E78" t="e">
        <f t="shared" ca="1" si="4"/>
        <v>#NAME?</v>
      </c>
      <c r="F78" s="45" t="s">
        <v>644</v>
      </c>
      <c r="G78" s="41">
        <f t="shared" ca="1" si="5"/>
        <v>78</v>
      </c>
      <c r="H78" s="41">
        <f t="shared" ca="1" si="6"/>
        <v>193</v>
      </c>
      <c r="I78" s="41">
        <f t="shared" ca="1" si="8"/>
        <v>193</v>
      </c>
      <c r="J78" s="41" t="e">
        <f ca="1">IF(H78=0,0,TableSearch(H78,arrayspace,$J$8,$J$7))</f>
        <v>#NAME?</v>
      </c>
      <c r="K78" s="41" t="e">
        <f t="shared" ca="1" si="7"/>
        <v>#NAME?</v>
      </c>
    </row>
    <row r="79" spans="1:11" x14ac:dyDescent="0.25">
      <c r="A79" t="e">
        <f t="shared" ca="1" si="0"/>
        <v>#NAME?</v>
      </c>
      <c r="B79" t="e">
        <f t="shared" ca="1" si="1"/>
        <v>#NAME?</v>
      </c>
      <c r="C79" t="e">
        <f t="shared" ca="1" si="2"/>
        <v>#NAME?</v>
      </c>
      <c r="D79" t="e">
        <f t="shared" ca="1" si="3"/>
        <v>#NAME?</v>
      </c>
      <c r="E79" t="e">
        <f t="shared" ca="1" si="4"/>
        <v>#NAME?</v>
      </c>
      <c r="F79" s="41" t="s">
        <v>645</v>
      </c>
      <c r="G79" s="41">
        <f t="shared" ca="1" si="5"/>
        <v>142</v>
      </c>
      <c r="H79" s="41">
        <f t="shared" ca="1" si="6"/>
        <v>192</v>
      </c>
      <c r="I79" s="41">
        <f t="shared" ca="1" si="8"/>
        <v>192</v>
      </c>
      <c r="J79" s="41" t="e">
        <f ca="1">IF(H79=0,0,TableSearch(H79,arrayspace,$J$8,$J$7))</f>
        <v>#NAME?</v>
      </c>
      <c r="K79" s="41" t="e">
        <f t="shared" ca="1" si="7"/>
        <v>#NAME?</v>
      </c>
    </row>
    <row r="80" spans="1:11" x14ac:dyDescent="0.25">
      <c r="A80" t="e">
        <f t="shared" ref="A80:A143" ca="1" si="9">IF(H80=0,"",VALUE(LEFT(J80,FIND(",",J80)-1)))</f>
        <v>#NAME?</v>
      </c>
      <c r="B80" t="e">
        <f t="shared" ref="B80:B143" ca="1" si="10">IF(H80=0,"",ABS(MID(J80,FIND(",",J80)+1,3)))</f>
        <v>#NAME?</v>
      </c>
      <c r="C80" t="e">
        <f t="shared" ref="C80:C143" ca="1" si="11">IF(A80="","",LEFT(IF(A80="","",INDEX($F$15:$G$270,MATCH(H80,$G$15:$G$270,0),1)),1))</f>
        <v>#NAME?</v>
      </c>
      <c r="D80" t="e">
        <f t="shared" ref="D80:D143" ca="1" si="12">IF(C80="","",TRIM(RIGHT(IF(C80="","",INDEX($F$15:$G$270,MATCH(H80,$G$15:$G$270,0),1)),2)))</f>
        <v>#NAME?</v>
      </c>
      <c r="E80" t="e">
        <f t="shared" ref="E80:E143" ca="1" si="13">IF(H80=0,"","elec"&amp;IF($J$6&gt;1,K80&amp;"-","")&amp;H80)</f>
        <v>#NAME?</v>
      </c>
      <c r="F80" s="41" t="s">
        <v>646</v>
      </c>
      <c r="G80" s="41">
        <f t="shared" ref="G80:G143" ca="1" si="14">INDIRECT("'"&amp;$J$2&amp;"'!R"&amp;(VALUE(MID($F80,3,2))-1)+$J$3&amp;"C"&amp;$J$4+IF(LEFT($F80,1)="A",1,0)+IF(LEFT($F80,1)="B",5,0)+IF(LEFT($F80,1)="C",9,0)+IF(LEFT($F80,1)="D",13,0)+IF(LEFT($F80,1)="E",17,0)+IF(LEFT($F80,1)="F",21,0)+IF(LEFT($F80,1)="G",25,0)+IF(LEFT($F80,1)="H",29,0),0)</f>
        <v>160</v>
      </c>
      <c r="H80" s="41">
        <f t="shared" ref="H80:H143" ca="1" si="15">I80</f>
        <v>191</v>
      </c>
      <c r="I80" s="41">
        <f t="shared" ca="1" si="8"/>
        <v>191</v>
      </c>
      <c r="J80" s="41" t="e">
        <f ca="1">IF(H80=0,0,TableSearch(H80,arrayspace,$J$8,$J$7))</f>
        <v>#NAME?</v>
      </c>
      <c r="K80" s="41" t="e">
        <f t="shared" ref="K80:K143" ca="1" si="16">IF(H80=0,0,INDIRECT("'"&amp;$J$2&amp;"'!"&amp;$J$5&amp;(-B80+$J$7+$J$9)))</f>
        <v>#NAME?</v>
      </c>
    </row>
    <row r="81" spans="1:11" x14ac:dyDescent="0.25">
      <c r="A81" t="e">
        <f t="shared" ca="1" si="9"/>
        <v>#NAME?</v>
      </c>
      <c r="B81" t="e">
        <f t="shared" ca="1" si="10"/>
        <v>#NAME?</v>
      </c>
      <c r="C81" t="e">
        <f t="shared" ca="1" si="11"/>
        <v>#NAME?</v>
      </c>
      <c r="D81" t="e">
        <f t="shared" ca="1" si="12"/>
        <v>#NAME?</v>
      </c>
      <c r="E81" t="e">
        <f t="shared" ca="1" si="13"/>
        <v>#NAME?</v>
      </c>
      <c r="F81" s="41" t="s">
        <v>647</v>
      </c>
      <c r="G81" s="41">
        <f t="shared" ca="1" si="14"/>
        <v>178</v>
      </c>
      <c r="H81" s="41">
        <f t="shared" ca="1" si="15"/>
        <v>190</v>
      </c>
      <c r="I81" s="41">
        <f t="shared" ref="I81:I144" ca="1" si="17">IF(ISNA(MATCH($I$15-(ROW()-15),$G$15:$G$270,0)),0,$I$15-(ROW()-15))</f>
        <v>190</v>
      </c>
      <c r="J81" s="41" t="e">
        <f ca="1">IF(H81=0,0,TableSearch(H81,arrayspace,$J$8,$J$7))</f>
        <v>#NAME?</v>
      </c>
      <c r="K81" s="41" t="e">
        <f t="shared" ca="1" si="16"/>
        <v>#NAME?</v>
      </c>
    </row>
    <row r="82" spans="1:11" x14ac:dyDescent="0.25">
      <c r="A82" t="e">
        <f t="shared" ca="1" si="9"/>
        <v>#NAME?</v>
      </c>
      <c r="B82" t="e">
        <f t="shared" ca="1" si="10"/>
        <v>#NAME?</v>
      </c>
      <c r="C82" t="e">
        <f t="shared" ca="1" si="11"/>
        <v>#NAME?</v>
      </c>
      <c r="D82" t="e">
        <f t="shared" ca="1" si="12"/>
        <v>#NAME?</v>
      </c>
      <c r="E82" t="e">
        <f t="shared" ca="1" si="13"/>
        <v>#NAME?</v>
      </c>
      <c r="F82" s="41" t="s">
        <v>648</v>
      </c>
      <c r="G82" s="41">
        <f t="shared" ca="1" si="14"/>
        <v>196</v>
      </c>
      <c r="H82" s="41">
        <f t="shared" ca="1" si="15"/>
        <v>189</v>
      </c>
      <c r="I82" s="41">
        <f t="shared" ca="1" si="17"/>
        <v>189</v>
      </c>
      <c r="J82" s="41" t="e">
        <f ca="1">IF(H82=0,0,TableSearch(H82,arrayspace,$J$8,$J$7))</f>
        <v>#NAME?</v>
      </c>
      <c r="K82" s="41" t="e">
        <f t="shared" ca="1" si="16"/>
        <v>#NAME?</v>
      </c>
    </row>
    <row r="83" spans="1:11" x14ac:dyDescent="0.25">
      <c r="A83" t="e">
        <f t="shared" ca="1" si="9"/>
        <v>#NAME?</v>
      </c>
      <c r="B83" t="e">
        <f t="shared" ca="1" si="10"/>
        <v>#NAME?</v>
      </c>
      <c r="C83" t="e">
        <f t="shared" ca="1" si="11"/>
        <v>#NAME?</v>
      </c>
      <c r="D83" t="e">
        <f t="shared" ca="1" si="12"/>
        <v>#NAME?</v>
      </c>
      <c r="E83" t="e">
        <f t="shared" ca="1" si="13"/>
        <v>#NAME?</v>
      </c>
      <c r="F83" s="41" t="s">
        <v>649</v>
      </c>
      <c r="G83" s="41">
        <f t="shared" ca="1" si="14"/>
        <v>143</v>
      </c>
      <c r="H83" s="41">
        <f t="shared" ca="1" si="15"/>
        <v>188</v>
      </c>
      <c r="I83" s="41">
        <f t="shared" ca="1" si="17"/>
        <v>188</v>
      </c>
      <c r="J83" s="41" t="e">
        <f ca="1">IF(H83=0,0,TableSearch(H83,arrayspace,$J$8,$J$7))</f>
        <v>#NAME?</v>
      </c>
      <c r="K83" s="41" t="e">
        <f t="shared" ca="1" si="16"/>
        <v>#NAME?</v>
      </c>
    </row>
    <row r="84" spans="1:11" x14ac:dyDescent="0.25">
      <c r="A84" t="e">
        <f t="shared" ca="1" si="9"/>
        <v>#NAME?</v>
      </c>
      <c r="B84" t="e">
        <f t="shared" ca="1" si="10"/>
        <v>#NAME?</v>
      </c>
      <c r="C84" t="e">
        <f t="shared" ca="1" si="11"/>
        <v>#NAME?</v>
      </c>
      <c r="D84" t="e">
        <f t="shared" ca="1" si="12"/>
        <v>#NAME?</v>
      </c>
      <c r="E84" t="e">
        <f t="shared" ca="1" si="13"/>
        <v>#NAME?</v>
      </c>
      <c r="F84" s="41" t="s">
        <v>650</v>
      </c>
      <c r="G84" s="41">
        <f t="shared" ca="1" si="14"/>
        <v>161</v>
      </c>
      <c r="H84" s="41">
        <f t="shared" ca="1" si="15"/>
        <v>187</v>
      </c>
      <c r="I84" s="41">
        <f t="shared" ca="1" si="17"/>
        <v>187</v>
      </c>
      <c r="J84" s="41" t="e">
        <f ca="1">IF(H84=0,0,TableSearch(H84,arrayspace,$J$8,$J$7))</f>
        <v>#NAME?</v>
      </c>
      <c r="K84" s="41" t="e">
        <f t="shared" ca="1" si="16"/>
        <v>#NAME?</v>
      </c>
    </row>
    <row r="85" spans="1:11" x14ac:dyDescent="0.25">
      <c r="A85" t="e">
        <f t="shared" ca="1" si="9"/>
        <v>#NAME?</v>
      </c>
      <c r="B85" t="e">
        <f t="shared" ca="1" si="10"/>
        <v>#NAME?</v>
      </c>
      <c r="C85" t="e">
        <f t="shared" ca="1" si="11"/>
        <v>#NAME?</v>
      </c>
      <c r="D85" t="e">
        <f t="shared" ca="1" si="12"/>
        <v>#NAME?</v>
      </c>
      <c r="E85" t="e">
        <f t="shared" ca="1" si="13"/>
        <v>#NAME?</v>
      </c>
      <c r="F85" s="41" t="s">
        <v>651</v>
      </c>
      <c r="G85" s="41">
        <f t="shared" ca="1" si="14"/>
        <v>179</v>
      </c>
      <c r="H85" s="41">
        <f t="shared" ca="1" si="15"/>
        <v>186</v>
      </c>
      <c r="I85" s="41">
        <f t="shared" ca="1" si="17"/>
        <v>186</v>
      </c>
      <c r="J85" s="41" t="e">
        <f ca="1">IF(H85=0,0,TableSearch(H85,arrayspace,$J$8,$J$7))</f>
        <v>#NAME?</v>
      </c>
      <c r="K85" s="41" t="e">
        <f t="shared" ca="1" si="16"/>
        <v>#NAME?</v>
      </c>
    </row>
    <row r="86" spans="1:11" x14ac:dyDescent="0.25">
      <c r="A86" t="e">
        <f t="shared" ca="1" si="9"/>
        <v>#NAME?</v>
      </c>
      <c r="B86" t="e">
        <f t="shared" ca="1" si="10"/>
        <v>#NAME?</v>
      </c>
      <c r="C86" t="e">
        <f t="shared" ca="1" si="11"/>
        <v>#NAME?</v>
      </c>
      <c r="D86" t="e">
        <f t="shared" ca="1" si="12"/>
        <v>#NAME?</v>
      </c>
      <c r="E86" t="e">
        <f t="shared" ca="1" si="13"/>
        <v>#NAME?</v>
      </c>
      <c r="F86" s="41" t="s">
        <v>652</v>
      </c>
      <c r="G86" s="41">
        <f t="shared" ca="1" si="14"/>
        <v>197</v>
      </c>
      <c r="H86" s="41">
        <f t="shared" ca="1" si="15"/>
        <v>185</v>
      </c>
      <c r="I86" s="41">
        <f t="shared" ca="1" si="17"/>
        <v>185</v>
      </c>
      <c r="J86" s="41" t="e">
        <f ca="1">IF(H86=0,0,TableSearch(H86,arrayspace,$J$8,$J$7))</f>
        <v>#NAME?</v>
      </c>
      <c r="K86" s="41" t="e">
        <f t="shared" ca="1" si="16"/>
        <v>#NAME?</v>
      </c>
    </row>
    <row r="87" spans="1:11" x14ac:dyDescent="0.25">
      <c r="A87" t="e">
        <f t="shared" ca="1" si="9"/>
        <v>#NAME?</v>
      </c>
      <c r="B87" t="e">
        <f t="shared" ca="1" si="10"/>
        <v>#NAME?</v>
      </c>
      <c r="C87" t="e">
        <f t="shared" ca="1" si="11"/>
        <v>#NAME?</v>
      </c>
      <c r="D87" t="e">
        <f t="shared" ca="1" si="12"/>
        <v>#NAME?</v>
      </c>
      <c r="E87" t="e">
        <f t="shared" ca="1" si="13"/>
        <v>#NAME?</v>
      </c>
      <c r="F87" s="41" t="s">
        <v>653</v>
      </c>
      <c r="G87" s="41">
        <f t="shared" ca="1" si="14"/>
        <v>144</v>
      </c>
      <c r="H87" s="41">
        <f t="shared" ca="1" si="15"/>
        <v>184</v>
      </c>
      <c r="I87" s="41">
        <f t="shared" ca="1" si="17"/>
        <v>184</v>
      </c>
      <c r="J87" s="41" t="e">
        <f ca="1">IF(H87=0,0,TableSearch(H87,arrayspace,$J$8,$J$7))</f>
        <v>#NAME?</v>
      </c>
      <c r="K87" s="41" t="e">
        <f t="shared" ca="1" si="16"/>
        <v>#NAME?</v>
      </c>
    </row>
    <row r="88" spans="1:11" x14ac:dyDescent="0.25">
      <c r="A88" t="e">
        <f t="shared" ca="1" si="9"/>
        <v>#NAME?</v>
      </c>
      <c r="B88" t="e">
        <f t="shared" ca="1" si="10"/>
        <v>#NAME?</v>
      </c>
      <c r="C88" t="e">
        <f t="shared" ca="1" si="11"/>
        <v>#NAME?</v>
      </c>
      <c r="D88" t="e">
        <f t="shared" ca="1" si="12"/>
        <v>#NAME?</v>
      </c>
      <c r="E88" t="e">
        <f t="shared" ca="1" si="13"/>
        <v>#NAME?</v>
      </c>
      <c r="F88" s="41" t="s">
        <v>654</v>
      </c>
      <c r="G88" s="41">
        <f t="shared" ca="1" si="14"/>
        <v>162</v>
      </c>
      <c r="H88" s="41">
        <f t="shared" ca="1" si="15"/>
        <v>183</v>
      </c>
      <c r="I88" s="41">
        <f t="shared" ca="1" si="17"/>
        <v>183</v>
      </c>
      <c r="J88" s="41" t="e">
        <f ca="1">IF(H88=0,0,TableSearch(H88,arrayspace,$J$8,$J$7))</f>
        <v>#NAME?</v>
      </c>
      <c r="K88" s="41" t="e">
        <f t="shared" ca="1" si="16"/>
        <v>#NAME?</v>
      </c>
    </row>
    <row r="89" spans="1:11" x14ac:dyDescent="0.25">
      <c r="A89" t="e">
        <f t="shared" ca="1" si="9"/>
        <v>#NAME?</v>
      </c>
      <c r="B89" t="e">
        <f t="shared" ca="1" si="10"/>
        <v>#NAME?</v>
      </c>
      <c r="C89" t="e">
        <f t="shared" ca="1" si="11"/>
        <v>#NAME?</v>
      </c>
      <c r="D89" t="e">
        <f t="shared" ca="1" si="12"/>
        <v>#NAME?</v>
      </c>
      <c r="E89" t="e">
        <f t="shared" ca="1" si="13"/>
        <v>#NAME?</v>
      </c>
      <c r="F89" s="41" t="s">
        <v>655</v>
      </c>
      <c r="G89" s="41">
        <f t="shared" ca="1" si="14"/>
        <v>180</v>
      </c>
      <c r="H89" s="41">
        <f t="shared" ca="1" si="15"/>
        <v>182</v>
      </c>
      <c r="I89" s="41">
        <f t="shared" ca="1" si="17"/>
        <v>182</v>
      </c>
      <c r="J89" s="41" t="e">
        <f ca="1">IF(H89=0,0,TableSearch(H89,arrayspace,$J$8,$J$7))</f>
        <v>#NAME?</v>
      </c>
      <c r="K89" s="41" t="e">
        <f t="shared" ca="1" si="16"/>
        <v>#NAME?</v>
      </c>
    </row>
    <row r="90" spans="1:11" x14ac:dyDescent="0.25">
      <c r="A90" t="e">
        <f t="shared" ca="1" si="9"/>
        <v>#NAME?</v>
      </c>
      <c r="B90" t="e">
        <f t="shared" ca="1" si="10"/>
        <v>#NAME?</v>
      </c>
      <c r="C90" t="e">
        <f t="shared" ca="1" si="11"/>
        <v>#NAME?</v>
      </c>
      <c r="D90" t="e">
        <f t="shared" ca="1" si="12"/>
        <v>#NAME?</v>
      </c>
      <c r="E90" t="e">
        <f t="shared" ca="1" si="13"/>
        <v>#NAME?</v>
      </c>
      <c r="F90" s="41" t="s">
        <v>656</v>
      </c>
      <c r="G90" s="41">
        <f t="shared" ca="1" si="14"/>
        <v>198</v>
      </c>
      <c r="H90" s="41">
        <f t="shared" ca="1" si="15"/>
        <v>181</v>
      </c>
      <c r="I90" s="41">
        <f t="shared" ca="1" si="17"/>
        <v>181</v>
      </c>
      <c r="J90" s="41" t="e">
        <f ca="1">IF(H90=0,0,TableSearch(H90,arrayspace,$J$8,$J$7))</f>
        <v>#NAME?</v>
      </c>
      <c r="K90" s="41" t="e">
        <f t="shared" ca="1" si="16"/>
        <v>#NAME?</v>
      </c>
    </row>
    <row r="91" spans="1:11" x14ac:dyDescent="0.25">
      <c r="A91" t="e">
        <f t="shared" ca="1" si="9"/>
        <v>#NAME?</v>
      </c>
      <c r="B91" t="e">
        <f t="shared" ca="1" si="10"/>
        <v>#NAME?</v>
      </c>
      <c r="C91" t="e">
        <f t="shared" ca="1" si="11"/>
        <v>#NAME?</v>
      </c>
      <c r="D91" t="e">
        <f t="shared" ca="1" si="12"/>
        <v>#NAME?</v>
      </c>
      <c r="E91" t="e">
        <f t="shared" ca="1" si="13"/>
        <v>#NAME?</v>
      </c>
      <c r="F91" s="41" t="s">
        <v>657</v>
      </c>
      <c r="G91" s="41">
        <f t="shared" ca="1" si="14"/>
        <v>145</v>
      </c>
      <c r="H91" s="41">
        <f t="shared" ca="1" si="15"/>
        <v>180</v>
      </c>
      <c r="I91" s="41">
        <f t="shared" ca="1" si="17"/>
        <v>180</v>
      </c>
      <c r="J91" s="41" t="e">
        <f ca="1">IF(H91=0,0,TableSearch(H91,arrayspace,$J$8,$J$7))</f>
        <v>#NAME?</v>
      </c>
      <c r="K91" s="41" t="e">
        <f t="shared" ca="1" si="16"/>
        <v>#NAME?</v>
      </c>
    </row>
    <row r="92" spans="1:11" x14ac:dyDescent="0.25">
      <c r="A92" t="e">
        <f t="shared" ca="1" si="9"/>
        <v>#NAME?</v>
      </c>
      <c r="B92" t="e">
        <f t="shared" ca="1" si="10"/>
        <v>#NAME?</v>
      </c>
      <c r="C92" t="e">
        <f t="shared" ca="1" si="11"/>
        <v>#NAME?</v>
      </c>
      <c r="D92" t="e">
        <f t="shared" ca="1" si="12"/>
        <v>#NAME?</v>
      </c>
      <c r="E92" t="e">
        <f t="shared" ca="1" si="13"/>
        <v>#NAME?</v>
      </c>
      <c r="F92" s="41" t="s">
        <v>658</v>
      </c>
      <c r="G92" s="41">
        <f t="shared" ca="1" si="14"/>
        <v>163</v>
      </c>
      <c r="H92" s="41">
        <f t="shared" ca="1" si="15"/>
        <v>179</v>
      </c>
      <c r="I92" s="41">
        <f t="shared" ca="1" si="17"/>
        <v>179</v>
      </c>
      <c r="J92" s="41" t="e">
        <f ca="1">IF(H92=0,0,TableSearch(H92,arrayspace,$J$8,$J$7))</f>
        <v>#NAME?</v>
      </c>
      <c r="K92" s="41" t="e">
        <f t="shared" ca="1" si="16"/>
        <v>#NAME?</v>
      </c>
    </row>
    <row r="93" spans="1:11" x14ac:dyDescent="0.25">
      <c r="A93" t="e">
        <f t="shared" ca="1" si="9"/>
        <v>#NAME?</v>
      </c>
      <c r="B93" t="e">
        <f t="shared" ca="1" si="10"/>
        <v>#NAME?</v>
      </c>
      <c r="C93" t="e">
        <f t="shared" ca="1" si="11"/>
        <v>#NAME?</v>
      </c>
      <c r="D93" t="e">
        <f t="shared" ca="1" si="12"/>
        <v>#NAME?</v>
      </c>
      <c r="E93" t="e">
        <f t="shared" ca="1" si="13"/>
        <v>#NAME?</v>
      </c>
      <c r="F93" s="41" t="s">
        <v>659</v>
      </c>
      <c r="G93" s="41">
        <f t="shared" ca="1" si="14"/>
        <v>181</v>
      </c>
      <c r="H93" s="41">
        <f t="shared" ca="1" si="15"/>
        <v>178</v>
      </c>
      <c r="I93" s="41">
        <f t="shared" ca="1" si="17"/>
        <v>178</v>
      </c>
      <c r="J93" s="41" t="e">
        <f ca="1">IF(H93=0,0,TableSearch(H93,arrayspace,$J$8,$J$7))</f>
        <v>#NAME?</v>
      </c>
      <c r="K93" s="41" t="e">
        <f t="shared" ca="1" si="16"/>
        <v>#NAME?</v>
      </c>
    </row>
    <row r="94" spans="1:11" x14ac:dyDescent="0.25">
      <c r="A94" t="e">
        <f t="shared" ca="1" si="9"/>
        <v>#NAME?</v>
      </c>
      <c r="B94" t="e">
        <f t="shared" ca="1" si="10"/>
        <v>#NAME?</v>
      </c>
      <c r="C94" t="e">
        <f t="shared" ca="1" si="11"/>
        <v>#NAME?</v>
      </c>
      <c r="D94" t="e">
        <f t="shared" ca="1" si="12"/>
        <v>#NAME?</v>
      </c>
      <c r="E94" t="e">
        <f t="shared" ca="1" si="13"/>
        <v>#NAME?</v>
      </c>
      <c r="F94" s="41" t="s">
        <v>660</v>
      </c>
      <c r="G94" s="41">
        <f t="shared" ca="1" si="14"/>
        <v>146</v>
      </c>
      <c r="H94" s="41">
        <f t="shared" ca="1" si="15"/>
        <v>177</v>
      </c>
      <c r="I94" s="41">
        <f t="shared" ca="1" si="17"/>
        <v>177</v>
      </c>
      <c r="J94" s="41" t="e">
        <f ca="1">IF(H94=0,0,TableSearch(H94,arrayspace,$J$8,$J$7))</f>
        <v>#NAME?</v>
      </c>
      <c r="K94" s="41" t="e">
        <f t="shared" ca="1" si="16"/>
        <v>#NAME?</v>
      </c>
    </row>
    <row r="95" spans="1:11" x14ac:dyDescent="0.25">
      <c r="A95" t="e">
        <f t="shared" ca="1" si="9"/>
        <v>#NAME?</v>
      </c>
      <c r="B95" t="e">
        <f t="shared" ca="1" si="10"/>
        <v>#NAME?</v>
      </c>
      <c r="C95" t="e">
        <f t="shared" ca="1" si="11"/>
        <v>#NAME?</v>
      </c>
      <c r="D95" t="e">
        <f t="shared" ca="1" si="12"/>
        <v>#NAME?</v>
      </c>
      <c r="E95" t="e">
        <f t="shared" ca="1" si="13"/>
        <v>#NAME?</v>
      </c>
      <c r="F95" s="41" t="s">
        <v>661</v>
      </c>
      <c r="G95" s="41">
        <f t="shared" ca="1" si="14"/>
        <v>164</v>
      </c>
      <c r="H95" s="41">
        <f t="shared" ca="1" si="15"/>
        <v>176</v>
      </c>
      <c r="I95" s="41">
        <f t="shared" ca="1" si="17"/>
        <v>176</v>
      </c>
      <c r="J95" s="41" t="e">
        <f ca="1">IF(H95=0,0,TableSearch(H95,arrayspace,$J$8,$J$7))</f>
        <v>#NAME?</v>
      </c>
      <c r="K95" s="41" t="e">
        <f t="shared" ca="1" si="16"/>
        <v>#NAME?</v>
      </c>
    </row>
    <row r="96" spans="1:11" x14ac:dyDescent="0.25">
      <c r="A96" t="e">
        <f t="shared" ca="1" si="9"/>
        <v>#NAME?</v>
      </c>
      <c r="B96" t="e">
        <f t="shared" ca="1" si="10"/>
        <v>#NAME?</v>
      </c>
      <c r="C96" t="e">
        <f t="shared" ca="1" si="11"/>
        <v>#NAME?</v>
      </c>
      <c r="D96" t="e">
        <f t="shared" ca="1" si="12"/>
        <v>#NAME?</v>
      </c>
      <c r="E96" t="e">
        <f t="shared" ca="1" si="13"/>
        <v>#NAME?</v>
      </c>
      <c r="F96" s="41" t="s">
        <v>662</v>
      </c>
      <c r="G96" s="41">
        <f t="shared" ca="1" si="14"/>
        <v>182</v>
      </c>
      <c r="H96" s="41">
        <f t="shared" ca="1" si="15"/>
        <v>175</v>
      </c>
      <c r="I96" s="41">
        <f t="shared" ca="1" si="17"/>
        <v>175</v>
      </c>
      <c r="J96" s="41" t="e">
        <f ca="1">IF(H96=0,0,TableSearch(H96,arrayspace,$J$8,$J$7))</f>
        <v>#NAME?</v>
      </c>
      <c r="K96" s="41" t="e">
        <f t="shared" ca="1" si="16"/>
        <v>#NAME?</v>
      </c>
    </row>
    <row r="97" spans="1:11" x14ac:dyDescent="0.25">
      <c r="A97" t="e">
        <f t="shared" ca="1" si="9"/>
        <v>#NAME?</v>
      </c>
      <c r="B97" t="e">
        <f t="shared" ca="1" si="10"/>
        <v>#NAME?</v>
      </c>
      <c r="C97" t="e">
        <f t="shared" ca="1" si="11"/>
        <v>#NAME?</v>
      </c>
      <c r="D97" t="e">
        <f t="shared" ca="1" si="12"/>
        <v>#NAME?</v>
      </c>
      <c r="E97" t="e">
        <f t="shared" ca="1" si="13"/>
        <v>#NAME?</v>
      </c>
      <c r="F97" s="41" t="s">
        <v>663</v>
      </c>
      <c r="G97" s="41">
        <f t="shared" ca="1" si="14"/>
        <v>147</v>
      </c>
      <c r="H97" s="41">
        <f t="shared" ca="1" si="15"/>
        <v>174</v>
      </c>
      <c r="I97" s="41">
        <f t="shared" ca="1" si="17"/>
        <v>174</v>
      </c>
      <c r="J97" s="41" t="e">
        <f ca="1">IF(H97=0,0,TableSearch(H97,arrayspace,$J$8,$J$7))</f>
        <v>#NAME?</v>
      </c>
      <c r="K97" s="41" t="e">
        <f t="shared" ca="1" si="16"/>
        <v>#NAME?</v>
      </c>
    </row>
    <row r="98" spans="1:11" x14ac:dyDescent="0.25">
      <c r="A98" t="e">
        <f t="shared" ca="1" si="9"/>
        <v>#NAME?</v>
      </c>
      <c r="B98" t="e">
        <f t="shared" ca="1" si="10"/>
        <v>#NAME?</v>
      </c>
      <c r="C98" t="e">
        <f t="shared" ca="1" si="11"/>
        <v>#NAME?</v>
      </c>
      <c r="D98" t="e">
        <f t="shared" ca="1" si="12"/>
        <v>#NAME?</v>
      </c>
      <c r="E98" t="e">
        <f t="shared" ca="1" si="13"/>
        <v>#NAME?</v>
      </c>
      <c r="F98" s="41" t="s">
        <v>664</v>
      </c>
      <c r="G98" s="41">
        <f t="shared" ca="1" si="14"/>
        <v>165</v>
      </c>
      <c r="H98" s="41">
        <f t="shared" ca="1" si="15"/>
        <v>173</v>
      </c>
      <c r="I98" s="41">
        <f t="shared" ca="1" si="17"/>
        <v>173</v>
      </c>
      <c r="J98" s="41" t="e">
        <f ca="1">IF(H98=0,0,TableSearch(H98,arrayspace,$J$8,$J$7))</f>
        <v>#NAME?</v>
      </c>
      <c r="K98" s="41" t="e">
        <f t="shared" ca="1" si="16"/>
        <v>#NAME?</v>
      </c>
    </row>
    <row r="99" spans="1:11" x14ac:dyDescent="0.25">
      <c r="A99" t="e">
        <f t="shared" ca="1" si="9"/>
        <v>#NAME?</v>
      </c>
      <c r="B99" t="e">
        <f t="shared" ca="1" si="10"/>
        <v>#NAME?</v>
      </c>
      <c r="C99" t="e">
        <f t="shared" ca="1" si="11"/>
        <v>#NAME?</v>
      </c>
      <c r="D99" t="e">
        <f t="shared" ca="1" si="12"/>
        <v>#NAME?</v>
      </c>
      <c r="E99" t="e">
        <f t="shared" ca="1" si="13"/>
        <v>#NAME?</v>
      </c>
      <c r="F99" s="41" t="s">
        <v>665</v>
      </c>
      <c r="G99" s="41">
        <f t="shared" ca="1" si="14"/>
        <v>183</v>
      </c>
      <c r="H99" s="41">
        <f t="shared" ca="1" si="15"/>
        <v>172</v>
      </c>
      <c r="I99" s="41">
        <f t="shared" ca="1" si="17"/>
        <v>172</v>
      </c>
      <c r="J99" s="41" t="e">
        <f ca="1">IF(H99=0,0,TableSearch(H99,arrayspace,$J$8,$J$7))</f>
        <v>#NAME?</v>
      </c>
      <c r="K99" s="41" t="e">
        <f t="shared" ca="1" si="16"/>
        <v>#NAME?</v>
      </c>
    </row>
    <row r="100" spans="1:11" x14ac:dyDescent="0.25">
      <c r="A100" t="e">
        <f t="shared" ca="1" si="9"/>
        <v>#NAME?</v>
      </c>
      <c r="B100" t="e">
        <f t="shared" ca="1" si="10"/>
        <v>#NAME?</v>
      </c>
      <c r="C100" t="e">
        <f t="shared" ca="1" si="11"/>
        <v>#NAME?</v>
      </c>
      <c r="D100" t="e">
        <f t="shared" ca="1" si="12"/>
        <v>#NAME?</v>
      </c>
      <c r="E100" t="e">
        <f t="shared" ca="1" si="13"/>
        <v>#NAME?</v>
      </c>
      <c r="F100" s="41" t="s">
        <v>666</v>
      </c>
      <c r="G100" s="41">
        <f t="shared" ca="1" si="14"/>
        <v>148</v>
      </c>
      <c r="H100" s="41">
        <f t="shared" ca="1" si="15"/>
        <v>171</v>
      </c>
      <c r="I100" s="41">
        <f t="shared" ca="1" si="17"/>
        <v>171</v>
      </c>
      <c r="J100" s="41" t="e">
        <f ca="1">IF(H100=0,0,TableSearch(H100,arrayspace,$J$8,$J$7))</f>
        <v>#NAME?</v>
      </c>
      <c r="K100" s="41" t="e">
        <f t="shared" ca="1" si="16"/>
        <v>#NAME?</v>
      </c>
    </row>
    <row r="101" spans="1:11" x14ac:dyDescent="0.25">
      <c r="A101" t="e">
        <f t="shared" ca="1" si="9"/>
        <v>#NAME?</v>
      </c>
      <c r="B101" t="e">
        <f t="shared" ca="1" si="10"/>
        <v>#NAME?</v>
      </c>
      <c r="C101" t="e">
        <f t="shared" ca="1" si="11"/>
        <v>#NAME?</v>
      </c>
      <c r="D101" t="e">
        <f t="shared" ca="1" si="12"/>
        <v>#NAME?</v>
      </c>
      <c r="E101" t="e">
        <f t="shared" ca="1" si="13"/>
        <v>#NAME?</v>
      </c>
      <c r="F101" s="41" t="s">
        <v>667</v>
      </c>
      <c r="G101" s="41">
        <f t="shared" ca="1" si="14"/>
        <v>166</v>
      </c>
      <c r="H101" s="41">
        <f t="shared" ca="1" si="15"/>
        <v>170</v>
      </c>
      <c r="I101" s="41">
        <f t="shared" ca="1" si="17"/>
        <v>170</v>
      </c>
      <c r="J101" s="41" t="e">
        <f ca="1">IF(H101=0,0,TableSearch(H101,arrayspace,$J$8,$J$7))</f>
        <v>#NAME?</v>
      </c>
      <c r="K101" s="41" t="e">
        <f t="shared" ca="1" si="16"/>
        <v>#NAME?</v>
      </c>
    </row>
    <row r="102" spans="1:11" x14ac:dyDescent="0.25">
      <c r="A102" t="e">
        <f t="shared" ca="1" si="9"/>
        <v>#NAME?</v>
      </c>
      <c r="B102" t="e">
        <f t="shared" ca="1" si="10"/>
        <v>#NAME?</v>
      </c>
      <c r="C102" t="e">
        <f t="shared" ca="1" si="11"/>
        <v>#NAME?</v>
      </c>
      <c r="D102" t="e">
        <f t="shared" ca="1" si="12"/>
        <v>#NAME?</v>
      </c>
      <c r="E102" t="e">
        <f t="shared" ca="1" si="13"/>
        <v>#NAME?</v>
      </c>
      <c r="F102" s="41" t="s">
        <v>668</v>
      </c>
      <c r="G102" s="41">
        <f t="shared" ca="1" si="14"/>
        <v>184</v>
      </c>
      <c r="H102" s="41">
        <f t="shared" ca="1" si="15"/>
        <v>169</v>
      </c>
      <c r="I102" s="41">
        <f t="shared" ca="1" si="17"/>
        <v>169</v>
      </c>
      <c r="J102" s="41" t="e">
        <f ca="1">IF(H102=0,0,TableSearch(H102,arrayspace,$J$8,$J$7))</f>
        <v>#NAME?</v>
      </c>
      <c r="K102" s="41" t="e">
        <f t="shared" ca="1" si="16"/>
        <v>#NAME?</v>
      </c>
    </row>
    <row r="103" spans="1:11" x14ac:dyDescent="0.25">
      <c r="A103" t="e">
        <f t="shared" ca="1" si="9"/>
        <v>#NAME?</v>
      </c>
      <c r="B103" t="e">
        <f t="shared" ca="1" si="10"/>
        <v>#NAME?</v>
      </c>
      <c r="C103" t="e">
        <f t="shared" ca="1" si="11"/>
        <v>#NAME?</v>
      </c>
      <c r="D103" t="e">
        <f t="shared" ca="1" si="12"/>
        <v>#NAME?</v>
      </c>
      <c r="E103" t="e">
        <f t="shared" ca="1" si="13"/>
        <v>#NAME?</v>
      </c>
      <c r="F103" s="41" t="s">
        <v>669</v>
      </c>
      <c r="G103" s="41">
        <f t="shared" ca="1" si="14"/>
        <v>131</v>
      </c>
      <c r="H103" s="41">
        <f t="shared" ca="1" si="15"/>
        <v>168</v>
      </c>
      <c r="I103" s="41">
        <f t="shared" ca="1" si="17"/>
        <v>168</v>
      </c>
      <c r="J103" s="41" t="e">
        <f ca="1">IF(H103=0,0,TableSearch(H103,arrayspace,$J$8,$J$7))</f>
        <v>#NAME?</v>
      </c>
      <c r="K103" s="41" t="e">
        <f t="shared" ca="1" si="16"/>
        <v>#NAME?</v>
      </c>
    </row>
    <row r="104" spans="1:11" x14ac:dyDescent="0.25">
      <c r="A104" t="e">
        <f t="shared" ca="1" si="9"/>
        <v>#NAME?</v>
      </c>
      <c r="B104" t="e">
        <f t="shared" ca="1" si="10"/>
        <v>#NAME?</v>
      </c>
      <c r="C104" t="e">
        <f t="shared" ca="1" si="11"/>
        <v>#NAME?</v>
      </c>
      <c r="D104" t="e">
        <f t="shared" ca="1" si="12"/>
        <v>#NAME?</v>
      </c>
      <c r="E104" t="e">
        <f t="shared" ca="1" si="13"/>
        <v>#NAME?</v>
      </c>
      <c r="F104" s="41" t="s">
        <v>670</v>
      </c>
      <c r="G104" s="41">
        <f t="shared" ca="1" si="14"/>
        <v>149</v>
      </c>
      <c r="H104" s="41">
        <f t="shared" ca="1" si="15"/>
        <v>167</v>
      </c>
      <c r="I104" s="41">
        <f t="shared" ca="1" si="17"/>
        <v>167</v>
      </c>
      <c r="J104" s="41" t="e">
        <f ca="1">IF(H104=0,0,TableSearch(H104,arrayspace,$J$8,$J$7))</f>
        <v>#NAME?</v>
      </c>
      <c r="K104" s="41" t="e">
        <f t="shared" ca="1" si="16"/>
        <v>#NAME?</v>
      </c>
    </row>
    <row r="105" spans="1:11" x14ac:dyDescent="0.25">
      <c r="A105" t="e">
        <f t="shared" ca="1" si="9"/>
        <v>#NAME?</v>
      </c>
      <c r="B105" t="e">
        <f t="shared" ca="1" si="10"/>
        <v>#NAME?</v>
      </c>
      <c r="C105" t="e">
        <f t="shared" ca="1" si="11"/>
        <v>#NAME?</v>
      </c>
      <c r="D105" t="e">
        <f t="shared" ca="1" si="12"/>
        <v>#NAME?</v>
      </c>
      <c r="E105" t="e">
        <f t="shared" ca="1" si="13"/>
        <v>#NAME?</v>
      </c>
      <c r="F105" s="41" t="s">
        <v>671</v>
      </c>
      <c r="G105" s="41">
        <f t="shared" ca="1" si="14"/>
        <v>167</v>
      </c>
      <c r="H105" s="41">
        <f t="shared" ca="1" si="15"/>
        <v>166</v>
      </c>
      <c r="I105" s="41">
        <f t="shared" ca="1" si="17"/>
        <v>166</v>
      </c>
      <c r="J105" s="41" t="e">
        <f ca="1">IF(H105=0,0,TableSearch(H105,arrayspace,$J$8,$J$7))</f>
        <v>#NAME?</v>
      </c>
      <c r="K105" s="41" t="e">
        <f t="shared" ca="1" si="16"/>
        <v>#NAME?</v>
      </c>
    </row>
    <row r="106" spans="1:11" x14ac:dyDescent="0.25">
      <c r="A106" t="e">
        <f t="shared" ca="1" si="9"/>
        <v>#NAME?</v>
      </c>
      <c r="B106" t="e">
        <f t="shared" ca="1" si="10"/>
        <v>#NAME?</v>
      </c>
      <c r="C106" t="e">
        <f t="shared" ca="1" si="11"/>
        <v>#NAME?</v>
      </c>
      <c r="D106" t="e">
        <f t="shared" ca="1" si="12"/>
        <v>#NAME?</v>
      </c>
      <c r="E106" t="e">
        <f t="shared" ca="1" si="13"/>
        <v>#NAME?</v>
      </c>
      <c r="F106" s="41" t="s">
        <v>672</v>
      </c>
      <c r="G106" s="41">
        <f t="shared" ca="1" si="14"/>
        <v>185</v>
      </c>
      <c r="H106" s="41">
        <f t="shared" ca="1" si="15"/>
        <v>165</v>
      </c>
      <c r="I106" s="41">
        <f t="shared" ca="1" si="17"/>
        <v>165</v>
      </c>
      <c r="J106" s="41" t="e">
        <f ca="1">IF(H106=0,0,TableSearch(H106,arrayspace,$J$8,$J$7))</f>
        <v>#NAME?</v>
      </c>
      <c r="K106" s="41" t="e">
        <f t="shared" ca="1" si="16"/>
        <v>#NAME?</v>
      </c>
    </row>
    <row r="107" spans="1:11" x14ac:dyDescent="0.25">
      <c r="A107" t="e">
        <f t="shared" ca="1" si="9"/>
        <v>#NAME?</v>
      </c>
      <c r="B107" t="e">
        <f t="shared" ca="1" si="10"/>
        <v>#NAME?</v>
      </c>
      <c r="C107" t="e">
        <f t="shared" ca="1" si="11"/>
        <v>#NAME?</v>
      </c>
      <c r="D107" t="e">
        <f t="shared" ca="1" si="12"/>
        <v>#NAME?</v>
      </c>
      <c r="E107" t="e">
        <f t="shared" ca="1" si="13"/>
        <v>#NAME?</v>
      </c>
      <c r="F107" s="41" t="s">
        <v>673</v>
      </c>
      <c r="G107" s="41">
        <f t="shared" ca="1" si="14"/>
        <v>132</v>
      </c>
      <c r="H107" s="41">
        <f t="shared" ca="1" si="15"/>
        <v>164</v>
      </c>
      <c r="I107" s="41">
        <f t="shared" ca="1" si="17"/>
        <v>164</v>
      </c>
      <c r="J107" s="41" t="e">
        <f ca="1">IF(H107=0,0,TableSearch(H107,arrayspace,$J$8,$J$7))</f>
        <v>#NAME?</v>
      </c>
      <c r="K107" s="41" t="e">
        <f t="shared" ca="1" si="16"/>
        <v>#NAME?</v>
      </c>
    </row>
    <row r="108" spans="1:11" x14ac:dyDescent="0.25">
      <c r="A108" t="e">
        <f t="shared" ca="1" si="9"/>
        <v>#NAME?</v>
      </c>
      <c r="B108" t="e">
        <f t="shared" ca="1" si="10"/>
        <v>#NAME?</v>
      </c>
      <c r="C108" t="e">
        <f t="shared" ca="1" si="11"/>
        <v>#NAME?</v>
      </c>
      <c r="D108" t="e">
        <f t="shared" ca="1" si="12"/>
        <v>#NAME?</v>
      </c>
      <c r="E108" t="e">
        <f t="shared" ca="1" si="13"/>
        <v>#NAME?</v>
      </c>
      <c r="F108" s="41" t="s">
        <v>674</v>
      </c>
      <c r="G108" s="41">
        <f t="shared" ca="1" si="14"/>
        <v>150</v>
      </c>
      <c r="H108" s="41">
        <f t="shared" ca="1" si="15"/>
        <v>163</v>
      </c>
      <c r="I108" s="41">
        <f t="shared" ca="1" si="17"/>
        <v>163</v>
      </c>
      <c r="J108" s="41" t="e">
        <f ca="1">IF(H108=0,0,TableSearch(H108,arrayspace,$J$8,$J$7))</f>
        <v>#NAME?</v>
      </c>
      <c r="K108" s="41" t="e">
        <f t="shared" ca="1" si="16"/>
        <v>#NAME?</v>
      </c>
    </row>
    <row r="109" spans="1:11" x14ac:dyDescent="0.25">
      <c r="A109" t="e">
        <f t="shared" ca="1" si="9"/>
        <v>#NAME?</v>
      </c>
      <c r="B109" t="e">
        <f t="shared" ca="1" si="10"/>
        <v>#NAME?</v>
      </c>
      <c r="C109" t="e">
        <f t="shared" ca="1" si="11"/>
        <v>#NAME?</v>
      </c>
      <c r="D109" t="e">
        <f t="shared" ca="1" si="12"/>
        <v>#NAME?</v>
      </c>
      <c r="E109" t="e">
        <f t="shared" ca="1" si="13"/>
        <v>#NAME?</v>
      </c>
      <c r="F109" s="41" t="s">
        <v>675</v>
      </c>
      <c r="G109" s="41">
        <f t="shared" ca="1" si="14"/>
        <v>168</v>
      </c>
      <c r="H109" s="41">
        <f t="shared" ca="1" si="15"/>
        <v>162</v>
      </c>
      <c r="I109" s="41">
        <f t="shared" ca="1" si="17"/>
        <v>162</v>
      </c>
      <c r="J109" s="41" t="e">
        <f ca="1">IF(H109=0,0,TableSearch(H109,arrayspace,$J$8,$J$7))</f>
        <v>#NAME?</v>
      </c>
      <c r="K109" s="41" t="e">
        <f t="shared" ca="1" si="16"/>
        <v>#NAME?</v>
      </c>
    </row>
    <row r="110" spans="1:11" x14ac:dyDescent="0.25">
      <c r="A110" t="e">
        <f t="shared" ca="1" si="9"/>
        <v>#NAME?</v>
      </c>
      <c r="B110" t="e">
        <f t="shared" ca="1" si="10"/>
        <v>#NAME?</v>
      </c>
      <c r="C110" t="e">
        <f t="shared" ca="1" si="11"/>
        <v>#NAME?</v>
      </c>
      <c r="D110" t="e">
        <f t="shared" ca="1" si="12"/>
        <v>#NAME?</v>
      </c>
      <c r="E110" t="e">
        <f t="shared" ca="1" si="13"/>
        <v>#NAME?</v>
      </c>
      <c r="F110" s="41" t="s">
        <v>676</v>
      </c>
      <c r="G110" s="41">
        <f t="shared" ca="1" si="14"/>
        <v>186</v>
      </c>
      <c r="H110" s="41">
        <f t="shared" ca="1" si="15"/>
        <v>161</v>
      </c>
      <c r="I110" s="41">
        <f t="shared" ca="1" si="17"/>
        <v>161</v>
      </c>
      <c r="J110" s="41" t="e">
        <f ca="1">IF(H110=0,0,TableSearch(H110,arrayspace,$J$8,$J$7))</f>
        <v>#NAME?</v>
      </c>
      <c r="K110" s="41" t="e">
        <f t="shared" ca="1" si="16"/>
        <v>#NAME?</v>
      </c>
    </row>
    <row r="111" spans="1:11" x14ac:dyDescent="0.25">
      <c r="A111" t="e">
        <f t="shared" ca="1" si="9"/>
        <v>#NAME?</v>
      </c>
      <c r="B111" t="e">
        <f t="shared" ca="1" si="10"/>
        <v>#NAME?</v>
      </c>
      <c r="C111" t="e">
        <f t="shared" ca="1" si="11"/>
        <v>#NAME?</v>
      </c>
      <c r="D111" t="e">
        <f t="shared" ca="1" si="12"/>
        <v>#NAME?</v>
      </c>
      <c r="E111" t="e">
        <f t="shared" ca="1" si="13"/>
        <v>#NAME?</v>
      </c>
      <c r="F111" s="41" t="s">
        <v>677</v>
      </c>
      <c r="G111" s="41">
        <f t="shared" ca="1" si="14"/>
        <v>213</v>
      </c>
      <c r="H111" s="41">
        <f t="shared" ca="1" si="15"/>
        <v>160</v>
      </c>
      <c r="I111" s="41">
        <f t="shared" ca="1" si="17"/>
        <v>160</v>
      </c>
      <c r="J111" s="41" t="e">
        <f ca="1">IF(H111=0,0,TableSearch(H111,arrayspace,$J$8,$J$7))</f>
        <v>#NAME?</v>
      </c>
      <c r="K111" s="41" t="e">
        <f t="shared" ca="1" si="16"/>
        <v>#NAME?</v>
      </c>
    </row>
    <row r="112" spans="1:11" x14ac:dyDescent="0.25">
      <c r="A112" t="e">
        <f t="shared" ca="1" si="9"/>
        <v>#NAME?</v>
      </c>
      <c r="B112" t="e">
        <f t="shared" ca="1" si="10"/>
        <v>#NAME?</v>
      </c>
      <c r="C112" t="e">
        <f t="shared" ca="1" si="11"/>
        <v>#NAME?</v>
      </c>
      <c r="D112" t="e">
        <f t="shared" ca="1" si="12"/>
        <v>#NAME?</v>
      </c>
      <c r="E112" t="e">
        <f t="shared" ca="1" si="13"/>
        <v>#NAME?</v>
      </c>
      <c r="F112" s="41" t="s">
        <v>678</v>
      </c>
      <c r="G112" s="41">
        <f t="shared" ca="1" si="14"/>
        <v>228</v>
      </c>
      <c r="H112" s="41">
        <f t="shared" ca="1" si="15"/>
        <v>159</v>
      </c>
      <c r="I112" s="41">
        <f t="shared" ca="1" si="17"/>
        <v>159</v>
      </c>
      <c r="J112" s="41" t="e">
        <f ca="1">IF(H112=0,0,TableSearch(H112,arrayspace,$J$8,$J$7))</f>
        <v>#NAME?</v>
      </c>
      <c r="K112" s="41" t="e">
        <f t="shared" ca="1" si="16"/>
        <v>#NAME?</v>
      </c>
    </row>
    <row r="113" spans="1:11" x14ac:dyDescent="0.25">
      <c r="A113" t="e">
        <f t="shared" ca="1" si="9"/>
        <v>#NAME?</v>
      </c>
      <c r="B113" t="e">
        <f t="shared" ca="1" si="10"/>
        <v>#NAME?</v>
      </c>
      <c r="C113" t="e">
        <f t="shared" ca="1" si="11"/>
        <v>#NAME?</v>
      </c>
      <c r="D113" t="e">
        <f t="shared" ca="1" si="12"/>
        <v>#NAME?</v>
      </c>
      <c r="E113" t="e">
        <f t="shared" ca="1" si="13"/>
        <v>#NAME?</v>
      </c>
      <c r="F113" s="41" t="s">
        <v>679</v>
      </c>
      <c r="G113" s="41">
        <f t="shared" ca="1" si="14"/>
        <v>241</v>
      </c>
      <c r="H113" s="41">
        <f t="shared" ca="1" si="15"/>
        <v>158</v>
      </c>
      <c r="I113" s="41">
        <f t="shared" ca="1" si="17"/>
        <v>158</v>
      </c>
      <c r="J113" s="41" t="e">
        <f ca="1">IF(H113=0,0,TableSearch(H113,arrayspace,$J$8,$J$7))</f>
        <v>#NAME?</v>
      </c>
      <c r="K113" s="41" t="e">
        <f t="shared" ca="1" si="16"/>
        <v>#NAME?</v>
      </c>
    </row>
    <row r="114" spans="1:11" x14ac:dyDescent="0.25">
      <c r="A114" t="e">
        <f t="shared" ca="1" si="9"/>
        <v>#NAME?</v>
      </c>
      <c r="B114" t="e">
        <f t="shared" ca="1" si="10"/>
        <v>#NAME?</v>
      </c>
      <c r="C114" t="e">
        <f t="shared" ca="1" si="11"/>
        <v>#NAME?</v>
      </c>
      <c r="D114" t="e">
        <f t="shared" ca="1" si="12"/>
        <v>#NAME?</v>
      </c>
      <c r="E114" t="e">
        <f t="shared" ca="1" si="13"/>
        <v>#NAME?</v>
      </c>
      <c r="F114" s="41" t="s">
        <v>680</v>
      </c>
      <c r="G114" s="41">
        <f t="shared" ca="1" si="14"/>
        <v>252</v>
      </c>
      <c r="H114" s="41">
        <f t="shared" ca="1" si="15"/>
        <v>157</v>
      </c>
      <c r="I114" s="41">
        <f t="shared" ca="1" si="17"/>
        <v>157</v>
      </c>
      <c r="J114" s="41" t="e">
        <f ca="1">IF(H114=0,0,TableSearch(H114,arrayspace,$J$8,$J$7))</f>
        <v>#NAME?</v>
      </c>
      <c r="K114" s="41" t="e">
        <f t="shared" ca="1" si="16"/>
        <v>#NAME?</v>
      </c>
    </row>
    <row r="115" spans="1:11" x14ac:dyDescent="0.25">
      <c r="A115" t="e">
        <f t="shared" ca="1" si="9"/>
        <v>#NAME?</v>
      </c>
      <c r="B115" t="e">
        <f t="shared" ca="1" si="10"/>
        <v>#NAME?</v>
      </c>
      <c r="C115" t="e">
        <f t="shared" ca="1" si="11"/>
        <v>#NAME?</v>
      </c>
      <c r="D115" t="e">
        <f t="shared" ca="1" si="12"/>
        <v>#NAME?</v>
      </c>
      <c r="E115" t="e">
        <f t="shared" ca="1" si="13"/>
        <v>#NAME?</v>
      </c>
      <c r="F115" s="41" t="s">
        <v>681</v>
      </c>
      <c r="G115" s="41">
        <f t="shared" ca="1" si="14"/>
        <v>214</v>
      </c>
      <c r="H115" s="41">
        <f t="shared" ca="1" si="15"/>
        <v>156</v>
      </c>
      <c r="I115" s="41">
        <f t="shared" ca="1" si="17"/>
        <v>156</v>
      </c>
      <c r="J115" s="41" t="e">
        <f ca="1">IF(H115=0,0,TableSearch(H115,arrayspace,$J$8,$J$7))</f>
        <v>#NAME?</v>
      </c>
      <c r="K115" s="41" t="e">
        <f t="shared" ca="1" si="16"/>
        <v>#NAME?</v>
      </c>
    </row>
    <row r="116" spans="1:11" x14ac:dyDescent="0.25">
      <c r="A116" t="e">
        <f t="shared" ca="1" si="9"/>
        <v>#NAME?</v>
      </c>
      <c r="B116" t="e">
        <f t="shared" ca="1" si="10"/>
        <v>#NAME?</v>
      </c>
      <c r="C116" t="e">
        <f t="shared" ca="1" si="11"/>
        <v>#NAME?</v>
      </c>
      <c r="D116" t="e">
        <f t="shared" ca="1" si="12"/>
        <v>#NAME?</v>
      </c>
      <c r="E116" t="e">
        <f t="shared" ca="1" si="13"/>
        <v>#NAME?</v>
      </c>
      <c r="F116" s="41" t="s">
        <v>682</v>
      </c>
      <c r="G116" s="41">
        <f t="shared" ca="1" si="14"/>
        <v>229</v>
      </c>
      <c r="H116" s="41">
        <f t="shared" ca="1" si="15"/>
        <v>155</v>
      </c>
      <c r="I116" s="41">
        <f t="shared" ca="1" si="17"/>
        <v>155</v>
      </c>
      <c r="J116" s="41" t="e">
        <f ca="1">IF(H116=0,0,TableSearch(H116,arrayspace,$J$8,$J$7))</f>
        <v>#NAME?</v>
      </c>
      <c r="K116" s="41" t="e">
        <f t="shared" ca="1" si="16"/>
        <v>#NAME?</v>
      </c>
    </row>
    <row r="117" spans="1:11" x14ac:dyDescent="0.25">
      <c r="A117" t="e">
        <f t="shared" ca="1" si="9"/>
        <v>#NAME?</v>
      </c>
      <c r="B117" t="e">
        <f t="shared" ca="1" si="10"/>
        <v>#NAME?</v>
      </c>
      <c r="C117" t="e">
        <f t="shared" ca="1" si="11"/>
        <v>#NAME?</v>
      </c>
      <c r="D117" t="e">
        <f t="shared" ca="1" si="12"/>
        <v>#NAME?</v>
      </c>
      <c r="E117" t="e">
        <f t="shared" ca="1" si="13"/>
        <v>#NAME?</v>
      </c>
      <c r="F117" s="41" t="s">
        <v>683</v>
      </c>
      <c r="G117" s="41">
        <f t="shared" ca="1" si="14"/>
        <v>242</v>
      </c>
      <c r="H117" s="41">
        <f t="shared" ca="1" si="15"/>
        <v>154</v>
      </c>
      <c r="I117" s="41">
        <f t="shared" ca="1" si="17"/>
        <v>154</v>
      </c>
      <c r="J117" s="41" t="e">
        <f ca="1">IF(H117=0,0,TableSearch(H117,arrayspace,$J$8,$J$7))</f>
        <v>#NAME?</v>
      </c>
      <c r="K117" s="41" t="e">
        <f t="shared" ca="1" si="16"/>
        <v>#NAME?</v>
      </c>
    </row>
    <row r="118" spans="1:11" x14ac:dyDescent="0.25">
      <c r="A118" t="e">
        <f t="shared" ca="1" si="9"/>
        <v>#NAME?</v>
      </c>
      <c r="B118" t="e">
        <f t="shared" ca="1" si="10"/>
        <v>#NAME?</v>
      </c>
      <c r="C118" t="e">
        <f t="shared" ca="1" si="11"/>
        <v>#NAME?</v>
      </c>
      <c r="D118" t="e">
        <f t="shared" ca="1" si="12"/>
        <v>#NAME?</v>
      </c>
      <c r="E118" t="e">
        <f t="shared" ca="1" si="13"/>
        <v>#NAME?</v>
      </c>
      <c r="F118" s="41" t="s">
        <v>684</v>
      </c>
      <c r="G118" s="41">
        <f t="shared" ca="1" si="14"/>
        <v>253</v>
      </c>
      <c r="H118" s="41">
        <f t="shared" ca="1" si="15"/>
        <v>153</v>
      </c>
      <c r="I118" s="41">
        <f t="shared" ca="1" si="17"/>
        <v>153</v>
      </c>
      <c r="J118" s="41" t="e">
        <f ca="1">IF(H118=0,0,TableSearch(H118,arrayspace,$J$8,$J$7))</f>
        <v>#NAME?</v>
      </c>
      <c r="K118" s="41" t="e">
        <f t="shared" ca="1" si="16"/>
        <v>#NAME?</v>
      </c>
    </row>
    <row r="119" spans="1:11" x14ac:dyDescent="0.25">
      <c r="A119" t="e">
        <f t="shared" ca="1" si="9"/>
        <v>#NAME?</v>
      </c>
      <c r="B119" t="e">
        <f t="shared" ca="1" si="10"/>
        <v>#NAME?</v>
      </c>
      <c r="C119" t="e">
        <f t="shared" ca="1" si="11"/>
        <v>#NAME?</v>
      </c>
      <c r="D119" t="e">
        <f t="shared" ca="1" si="12"/>
        <v>#NAME?</v>
      </c>
      <c r="E119" t="e">
        <f t="shared" ca="1" si="13"/>
        <v>#NAME?</v>
      </c>
      <c r="F119" s="41" t="s">
        <v>685</v>
      </c>
      <c r="G119" s="41">
        <f t="shared" ca="1" si="14"/>
        <v>215</v>
      </c>
      <c r="H119" s="41">
        <f t="shared" ca="1" si="15"/>
        <v>152</v>
      </c>
      <c r="I119" s="41">
        <f t="shared" ca="1" si="17"/>
        <v>152</v>
      </c>
      <c r="J119" s="41" t="e">
        <f ca="1">IF(H119=0,0,TableSearch(H119,arrayspace,$J$8,$J$7))</f>
        <v>#NAME?</v>
      </c>
      <c r="K119" s="41" t="e">
        <f t="shared" ca="1" si="16"/>
        <v>#NAME?</v>
      </c>
    </row>
    <row r="120" spans="1:11" x14ac:dyDescent="0.25">
      <c r="A120" t="e">
        <f t="shared" ca="1" si="9"/>
        <v>#NAME?</v>
      </c>
      <c r="B120" t="e">
        <f t="shared" ca="1" si="10"/>
        <v>#NAME?</v>
      </c>
      <c r="C120" t="e">
        <f t="shared" ca="1" si="11"/>
        <v>#NAME?</v>
      </c>
      <c r="D120" t="e">
        <f t="shared" ca="1" si="12"/>
        <v>#NAME?</v>
      </c>
      <c r="E120" t="e">
        <f t="shared" ca="1" si="13"/>
        <v>#NAME?</v>
      </c>
      <c r="F120" s="41" t="s">
        <v>686</v>
      </c>
      <c r="G120" s="41">
        <f t="shared" ca="1" si="14"/>
        <v>230</v>
      </c>
      <c r="H120" s="41">
        <f t="shared" ca="1" si="15"/>
        <v>151</v>
      </c>
      <c r="I120" s="41">
        <f t="shared" ca="1" si="17"/>
        <v>151</v>
      </c>
      <c r="J120" s="41" t="e">
        <f ca="1">IF(H120=0,0,TableSearch(H120,arrayspace,$J$8,$J$7))</f>
        <v>#NAME?</v>
      </c>
      <c r="K120" s="41" t="e">
        <f t="shared" ca="1" si="16"/>
        <v>#NAME?</v>
      </c>
    </row>
    <row r="121" spans="1:11" x14ac:dyDescent="0.25">
      <c r="A121" t="e">
        <f t="shared" ca="1" si="9"/>
        <v>#NAME?</v>
      </c>
      <c r="B121" t="e">
        <f t="shared" ca="1" si="10"/>
        <v>#NAME?</v>
      </c>
      <c r="C121" t="e">
        <f t="shared" ca="1" si="11"/>
        <v>#NAME?</v>
      </c>
      <c r="D121" t="e">
        <f t="shared" ca="1" si="12"/>
        <v>#NAME?</v>
      </c>
      <c r="E121" t="e">
        <f t="shared" ca="1" si="13"/>
        <v>#NAME?</v>
      </c>
      <c r="F121" s="41" t="s">
        <v>687</v>
      </c>
      <c r="G121" s="41">
        <f t="shared" ca="1" si="14"/>
        <v>243</v>
      </c>
      <c r="H121" s="41">
        <f t="shared" ca="1" si="15"/>
        <v>150</v>
      </c>
      <c r="I121" s="41">
        <f t="shared" ca="1" si="17"/>
        <v>150</v>
      </c>
      <c r="J121" s="41" t="e">
        <f ca="1">IF(H121=0,0,TableSearch(H121,arrayspace,$J$8,$J$7))</f>
        <v>#NAME?</v>
      </c>
      <c r="K121" s="41" t="e">
        <f t="shared" ca="1" si="16"/>
        <v>#NAME?</v>
      </c>
    </row>
    <row r="122" spans="1:11" x14ac:dyDescent="0.25">
      <c r="A122" t="e">
        <f t="shared" ca="1" si="9"/>
        <v>#NAME?</v>
      </c>
      <c r="B122" t="e">
        <f t="shared" ca="1" si="10"/>
        <v>#NAME?</v>
      </c>
      <c r="C122" t="e">
        <f t="shared" ca="1" si="11"/>
        <v>#NAME?</v>
      </c>
      <c r="D122" t="e">
        <f t="shared" ca="1" si="12"/>
        <v>#NAME?</v>
      </c>
      <c r="E122" t="e">
        <f t="shared" ca="1" si="13"/>
        <v>#NAME?</v>
      </c>
      <c r="F122" s="41" t="s">
        <v>688</v>
      </c>
      <c r="G122" s="41">
        <f t="shared" ca="1" si="14"/>
        <v>254</v>
      </c>
      <c r="H122" s="41">
        <f t="shared" ca="1" si="15"/>
        <v>149</v>
      </c>
      <c r="I122" s="41">
        <f t="shared" ca="1" si="17"/>
        <v>149</v>
      </c>
      <c r="J122" s="41" t="e">
        <f ca="1">IF(H122=0,0,TableSearch(H122,arrayspace,$J$8,$J$7))</f>
        <v>#NAME?</v>
      </c>
      <c r="K122" s="41" t="e">
        <f t="shared" ca="1" si="16"/>
        <v>#NAME?</v>
      </c>
    </row>
    <row r="123" spans="1:11" x14ac:dyDescent="0.25">
      <c r="A123" t="e">
        <f t="shared" ca="1" si="9"/>
        <v>#NAME?</v>
      </c>
      <c r="B123" t="e">
        <f t="shared" ca="1" si="10"/>
        <v>#NAME?</v>
      </c>
      <c r="C123" t="e">
        <f t="shared" ca="1" si="11"/>
        <v>#NAME?</v>
      </c>
      <c r="D123" t="e">
        <f t="shared" ca="1" si="12"/>
        <v>#NAME?</v>
      </c>
      <c r="E123" t="e">
        <f t="shared" ca="1" si="13"/>
        <v>#NAME?</v>
      </c>
      <c r="F123" s="41" t="s">
        <v>689</v>
      </c>
      <c r="G123" s="41">
        <f t="shared" ca="1" si="14"/>
        <v>199</v>
      </c>
      <c r="H123" s="41">
        <f t="shared" ca="1" si="15"/>
        <v>148</v>
      </c>
      <c r="I123" s="41">
        <f t="shared" ca="1" si="17"/>
        <v>148</v>
      </c>
      <c r="J123" s="41" t="e">
        <f ca="1">IF(H123=0,0,TableSearch(H123,arrayspace,$J$8,$J$7))</f>
        <v>#NAME?</v>
      </c>
      <c r="K123" s="41" t="e">
        <f t="shared" ca="1" si="16"/>
        <v>#NAME?</v>
      </c>
    </row>
    <row r="124" spans="1:11" x14ac:dyDescent="0.25">
      <c r="A124" t="e">
        <f t="shared" ca="1" si="9"/>
        <v>#NAME?</v>
      </c>
      <c r="B124" t="e">
        <f t="shared" ca="1" si="10"/>
        <v>#NAME?</v>
      </c>
      <c r="C124" t="e">
        <f t="shared" ca="1" si="11"/>
        <v>#NAME?</v>
      </c>
      <c r="D124" t="e">
        <f t="shared" ca="1" si="12"/>
        <v>#NAME?</v>
      </c>
      <c r="E124" t="e">
        <f t="shared" ca="1" si="13"/>
        <v>#NAME?</v>
      </c>
      <c r="F124" s="41" t="s">
        <v>690</v>
      </c>
      <c r="G124" s="41">
        <f t="shared" ca="1" si="14"/>
        <v>216</v>
      </c>
      <c r="H124" s="41">
        <f t="shared" ca="1" si="15"/>
        <v>147</v>
      </c>
      <c r="I124" s="41">
        <f t="shared" ca="1" si="17"/>
        <v>147</v>
      </c>
      <c r="J124" s="41" t="e">
        <f ca="1">IF(H124=0,0,TableSearch(H124,arrayspace,$J$8,$J$7))</f>
        <v>#NAME?</v>
      </c>
      <c r="K124" s="41" t="e">
        <f t="shared" ca="1" si="16"/>
        <v>#NAME?</v>
      </c>
    </row>
    <row r="125" spans="1:11" x14ac:dyDescent="0.25">
      <c r="A125" t="e">
        <f t="shared" ca="1" si="9"/>
        <v>#NAME?</v>
      </c>
      <c r="B125" t="e">
        <f t="shared" ca="1" si="10"/>
        <v>#NAME?</v>
      </c>
      <c r="C125" t="e">
        <f t="shared" ca="1" si="11"/>
        <v>#NAME?</v>
      </c>
      <c r="D125" t="e">
        <f t="shared" ca="1" si="12"/>
        <v>#NAME?</v>
      </c>
      <c r="E125" t="e">
        <f t="shared" ca="1" si="13"/>
        <v>#NAME?</v>
      </c>
      <c r="F125" s="41" t="s">
        <v>691</v>
      </c>
      <c r="G125" s="41">
        <f t="shared" ca="1" si="14"/>
        <v>231</v>
      </c>
      <c r="H125" s="41">
        <f t="shared" ca="1" si="15"/>
        <v>146</v>
      </c>
      <c r="I125" s="41">
        <f t="shared" ca="1" si="17"/>
        <v>146</v>
      </c>
      <c r="J125" s="41" t="e">
        <f ca="1">IF(H125=0,0,TableSearch(H125,arrayspace,$J$8,$J$7))</f>
        <v>#NAME?</v>
      </c>
      <c r="K125" s="41" t="e">
        <f t="shared" ca="1" si="16"/>
        <v>#NAME?</v>
      </c>
    </row>
    <row r="126" spans="1:11" x14ac:dyDescent="0.25">
      <c r="A126" t="e">
        <f t="shared" ca="1" si="9"/>
        <v>#NAME?</v>
      </c>
      <c r="B126" t="e">
        <f t="shared" ca="1" si="10"/>
        <v>#NAME?</v>
      </c>
      <c r="C126" t="e">
        <f t="shared" ca="1" si="11"/>
        <v>#NAME?</v>
      </c>
      <c r="D126" t="e">
        <f t="shared" ca="1" si="12"/>
        <v>#NAME?</v>
      </c>
      <c r="E126" t="e">
        <f t="shared" ca="1" si="13"/>
        <v>#NAME?</v>
      </c>
      <c r="F126" s="41" t="s">
        <v>692</v>
      </c>
      <c r="G126" s="41">
        <f t="shared" ca="1" si="14"/>
        <v>244</v>
      </c>
      <c r="H126" s="41">
        <f t="shared" ca="1" si="15"/>
        <v>145</v>
      </c>
      <c r="I126" s="41">
        <f t="shared" ca="1" si="17"/>
        <v>145</v>
      </c>
      <c r="J126" s="41" t="e">
        <f ca="1">IF(H126=0,0,TableSearch(H126,arrayspace,$J$8,$J$7))</f>
        <v>#NAME?</v>
      </c>
      <c r="K126" s="41" t="e">
        <f t="shared" ca="1" si="16"/>
        <v>#NAME?</v>
      </c>
    </row>
    <row r="127" spans="1:11" x14ac:dyDescent="0.25">
      <c r="A127" t="e">
        <f t="shared" ca="1" si="9"/>
        <v>#NAME?</v>
      </c>
      <c r="B127" t="e">
        <f t="shared" ca="1" si="10"/>
        <v>#NAME?</v>
      </c>
      <c r="C127" t="e">
        <f t="shared" ca="1" si="11"/>
        <v>#NAME?</v>
      </c>
      <c r="D127" t="e">
        <f t="shared" ca="1" si="12"/>
        <v>#NAME?</v>
      </c>
      <c r="E127" t="e">
        <f t="shared" ca="1" si="13"/>
        <v>#NAME?</v>
      </c>
      <c r="F127" s="41" t="s">
        <v>693</v>
      </c>
      <c r="G127" s="41">
        <f t="shared" ca="1" si="14"/>
        <v>255</v>
      </c>
      <c r="H127" s="41">
        <f t="shared" ca="1" si="15"/>
        <v>144</v>
      </c>
      <c r="I127" s="41">
        <f t="shared" ca="1" si="17"/>
        <v>144</v>
      </c>
      <c r="J127" s="41" t="e">
        <f ca="1">IF(H127=0,0,TableSearch(H127,arrayspace,$J$8,$J$7))</f>
        <v>#NAME?</v>
      </c>
      <c r="K127" s="41" t="e">
        <f t="shared" ca="1" si="16"/>
        <v>#NAME?</v>
      </c>
    </row>
    <row r="128" spans="1:11" x14ac:dyDescent="0.25">
      <c r="A128" t="e">
        <f t="shared" ca="1" si="9"/>
        <v>#NAME?</v>
      </c>
      <c r="B128" t="e">
        <f t="shared" ca="1" si="10"/>
        <v>#NAME?</v>
      </c>
      <c r="C128" t="e">
        <f t="shared" ca="1" si="11"/>
        <v>#NAME?</v>
      </c>
      <c r="D128" t="e">
        <f t="shared" ca="1" si="12"/>
        <v>#NAME?</v>
      </c>
      <c r="E128" t="e">
        <f t="shared" ca="1" si="13"/>
        <v>#NAME?</v>
      </c>
      <c r="F128" s="41" t="s">
        <v>694</v>
      </c>
      <c r="G128" s="41">
        <f t="shared" ca="1" si="14"/>
        <v>200</v>
      </c>
      <c r="H128" s="41">
        <f t="shared" ca="1" si="15"/>
        <v>143</v>
      </c>
      <c r="I128" s="41">
        <f t="shared" ca="1" si="17"/>
        <v>143</v>
      </c>
      <c r="J128" s="41" t="e">
        <f ca="1">IF(H128=0,0,TableSearch(H128,arrayspace,$J$8,$J$7))</f>
        <v>#NAME?</v>
      </c>
      <c r="K128" s="41" t="e">
        <f t="shared" ca="1" si="16"/>
        <v>#NAME?</v>
      </c>
    </row>
    <row r="129" spans="1:11" x14ac:dyDescent="0.25">
      <c r="A129" t="e">
        <f t="shared" ca="1" si="9"/>
        <v>#NAME?</v>
      </c>
      <c r="B129" t="e">
        <f t="shared" ca="1" si="10"/>
        <v>#NAME?</v>
      </c>
      <c r="C129" t="e">
        <f t="shared" ca="1" si="11"/>
        <v>#NAME?</v>
      </c>
      <c r="D129" t="e">
        <f t="shared" ca="1" si="12"/>
        <v>#NAME?</v>
      </c>
      <c r="E129" t="e">
        <f t="shared" ca="1" si="13"/>
        <v>#NAME?</v>
      </c>
      <c r="F129" s="41" t="s">
        <v>695</v>
      </c>
      <c r="G129" s="41">
        <f t="shared" ca="1" si="14"/>
        <v>217</v>
      </c>
      <c r="H129" s="41">
        <f t="shared" ca="1" si="15"/>
        <v>142</v>
      </c>
      <c r="I129" s="41">
        <f t="shared" ca="1" si="17"/>
        <v>142</v>
      </c>
      <c r="J129" s="41" t="e">
        <f ca="1">IF(H129=0,0,TableSearch(H129,arrayspace,$J$8,$J$7))</f>
        <v>#NAME?</v>
      </c>
      <c r="K129" s="41" t="e">
        <f t="shared" ca="1" si="16"/>
        <v>#NAME?</v>
      </c>
    </row>
    <row r="130" spans="1:11" x14ac:dyDescent="0.25">
      <c r="A130" t="e">
        <f t="shared" ca="1" si="9"/>
        <v>#NAME?</v>
      </c>
      <c r="B130" t="e">
        <f t="shared" ca="1" si="10"/>
        <v>#NAME?</v>
      </c>
      <c r="C130" t="e">
        <f t="shared" ca="1" si="11"/>
        <v>#NAME?</v>
      </c>
      <c r="D130" t="e">
        <f t="shared" ca="1" si="12"/>
        <v>#NAME?</v>
      </c>
      <c r="E130" t="e">
        <f t="shared" ca="1" si="13"/>
        <v>#NAME?</v>
      </c>
      <c r="F130" s="41" t="s">
        <v>696</v>
      </c>
      <c r="G130" s="41">
        <f t="shared" ca="1" si="14"/>
        <v>232</v>
      </c>
      <c r="H130" s="41">
        <f t="shared" ca="1" si="15"/>
        <v>141</v>
      </c>
      <c r="I130" s="41">
        <f t="shared" ca="1" si="17"/>
        <v>141</v>
      </c>
      <c r="J130" s="41" t="e">
        <f ca="1">IF(H130=0,0,TableSearch(H130,arrayspace,$J$8,$J$7))</f>
        <v>#NAME?</v>
      </c>
      <c r="K130" s="41" t="e">
        <f t="shared" ca="1" si="16"/>
        <v>#NAME?</v>
      </c>
    </row>
    <row r="131" spans="1:11" x14ac:dyDescent="0.25">
      <c r="A131" t="e">
        <f t="shared" ca="1" si="9"/>
        <v>#NAME?</v>
      </c>
      <c r="B131" t="e">
        <f t="shared" ca="1" si="10"/>
        <v>#NAME?</v>
      </c>
      <c r="C131" t="e">
        <f t="shared" ca="1" si="11"/>
        <v>#NAME?</v>
      </c>
      <c r="D131" t="e">
        <f t="shared" ca="1" si="12"/>
        <v>#NAME?</v>
      </c>
      <c r="E131" t="e">
        <f t="shared" ca="1" si="13"/>
        <v>#NAME?</v>
      </c>
      <c r="F131" s="41" t="s">
        <v>697</v>
      </c>
      <c r="G131" s="41">
        <f t="shared" ca="1" si="14"/>
        <v>245</v>
      </c>
      <c r="H131" s="41">
        <f t="shared" ca="1" si="15"/>
        <v>140</v>
      </c>
      <c r="I131" s="41">
        <f t="shared" ca="1" si="17"/>
        <v>140</v>
      </c>
      <c r="J131" s="41" t="e">
        <f ca="1">IF(H131=0,0,TableSearch(H131,arrayspace,$J$8,$J$7))</f>
        <v>#NAME?</v>
      </c>
      <c r="K131" s="41" t="e">
        <f t="shared" ca="1" si="16"/>
        <v>#NAME?</v>
      </c>
    </row>
    <row r="132" spans="1:11" x14ac:dyDescent="0.25">
      <c r="A132" t="e">
        <f t="shared" ca="1" si="9"/>
        <v>#NAME?</v>
      </c>
      <c r="B132" t="e">
        <f t="shared" ca="1" si="10"/>
        <v>#NAME?</v>
      </c>
      <c r="C132" t="e">
        <f t="shared" ca="1" si="11"/>
        <v>#NAME?</v>
      </c>
      <c r="D132" t="e">
        <f t="shared" ca="1" si="12"/>
        <v>#NAME?</v>
      </c>
      <c r="E132" t="e">
        <f t="shared" ca="1" si="13"/>
        <v>#NAME?</v>
      </c>
      <c r="F132" s="41" t="s">
        <v>698</v>
      </c>
      <c r="G132" s="41">
        <f t="shared" ca="1" si="14"/>
        <v>256</v>
      </c>
      <c r="H132" s="41">
        <f t="shared" ca="1" si="15"/>
        <v>139</v>
      </c>
      <c r="I132" s="41">
        <f t="shared" ca="1" si="17"/>
        <v>139</v>
      </c>
      <c r="J132" s="41" t="e">
        <f ca="1">IF(H132=0,0,TableSearch(H132,arrayspace,$J$8,$J$7))</f>
        <v>#NAME?</v>
      </c>
      <c r="K132" s="41" t="e">
        <f t="shared" ca="1" si="16"/>
        <v>#NAME?</v>
      </c>
    </row>
    <row r="133" spans="1:11" x14ac:dyDescent="0.25">
      <c r="A133" t="e">
        <f t="shared" ca="1" si="9"/>
        <v>#NAME?</v>
      </c>
      <c r="B133" t="e">
        <f t="shared" ca="1" si="10"/>
        <v>#NAME?</v>
      </c>
      <c r="C133" t="e">
        <f t="shared" ca="1" si="11"/>
        <v>#NAME?</v>
      </c>
      <c r="D133" t="e">
        <f t="shared" ca="1" si="12"/>
        <v>#NAME?</v>
      </c>
      <c r="E133" t="e">
        <f t="shared" ca="1" si="13"/>
        <v>#NAME?</v>
      </c>
      <c r="F133" s="41" t="s">
        <v>699</v>
      </c>
      <c r="G133" s="41">
        <f t="shared" ca="1" si="14"/>
        <v>201</v>
      </c>
      <c r="H133" s="41">
        <f t="shared" ca="1" si="15"/>
        <v>138</v>
      </c>
      <c r="I133" s="41">
        <f t="shared" ca="1" si="17"/>
        <v>138</v>
      </c>
      <c r="J133" s="41" t="e">
        <f ca="1">IF(H133=0,0,TableSearch(H133,arrayspace,$J$8,$J$7))</f>
        <v>#NAME?</v>
      </c>
      <c r="K133" s="41" t="e">
        <f t="shared" ca="1" si="16"/>
        <v>#NAME?</v>
      </c>
    </row>
    <row r="134" spans="1:11" x14ac:dyDescent="0.25">
      <c r="A134" t="e">
        <f t="shared" ca="1" si="9"/>
        <v>#NAME?</v>
      </c>
      <c r="B134" t="e">
        <f t="shared" ca="1" si="10"/>
        <v>#NAME?</v>
      </c>
      <c r="C134" t="e">
        <f t="shared" ca="1" si="11"/>
        <v>#NAME?</v>
      </c>
      <c r="D134" t="e">
        <f t="shared" ca="1" si="12"/>
        <v>#NAME?</v>
      </c>
      <c r="E134" t="e">
        <f t="shared" ca="1" si="13"/>
        <v>#NAME?</v>
      </c>
      <c r="F134" s="41" t="s">
        <v>700</v>
      </c>
      <c r="G134" s="41">
        <f t="shared" ca="1" si="14"/>
        <v>218</v>
      </c>
      <c r="H134" s="41">
        <f t="shared" ca="1" si="15"/>
        <v>137</v>
      </c>
      <c r="I134" s="41">
        <f t="shared" ca="1" si="17"/>
        <v>137</v>
      </c>
      <c r="J134" s="41" t="e">
        <f ca="1">IF(H134=0,0,TableSearch(H134,arrayspace,$J$8,$J$7))</f>
        <v>#NAME?</v>
      </c>
      <c r="K134" s="41" t="e">
        <f t="shared" ca="1" si="16"/>
        <v>#NAME?</v>
      </c>
    </row>
    <row r="135" spans="1:11" x14ac:dyDescent="0.25">
      <c r="A135" t="e">
        <f t="shared" ca="1" si="9"/>
        <v>#NAME?</v>
      </c>
      <c r="B135" t="e">
        <f t="shared" ca="1" si="10"/>
        <v>#NAME?</v>
      </c>
      <c r="C135" t="e">
        <f t="shared" ca="1" si="11"/>
        <v>#NAME?</v>
      </c>
      <c r="D135" t="e">
        <f t="shared" ca="1" si="12"/>
        <v>#NAME?</v>
      </c>
      <c r="E135" t="e">
        <f t="shared" ca="1" si="13"/>
        <v>#NAME?</v>
      </c>
      <c r="F135" s="41" t="s">
        <v>701</v>
      </c>
      <c r="G135" s="41">
        <f t="shared" ca="1" si="14"/>
        <v>233</v>
      </c>
      <c r="H135" s="41">
        <f t="shared" ca="1" si="15"/>
        <v>136</v>
      </c>
      <c r="I135" s="41">
        <f t="shared" ca="1" si="17"/>
        <v>136</v>
      </c>
      <c r="J135" s="41" t="e">
        <f ca="1">IF(H135=0,0,TableSearch(H135,arrayspace,$J$8,$J$7))</f>
        <v>#NAME?</v>
      </c>
      <c r="K135" s="41" t="e">
        <f t="shared" ca="1" si="16"/>
        <v>#NAME?</v>
      </c>
    </row>
    <row r="136" spans="1:11" x14ac:dyDescent="0.25">
      <c r="A136" t="e">
        <f t="shared" ca="1" si="9"/>
        <v>#NAME?</v>
      </c>
      <c r="B136" t="e">
        <f t="shared" ca="1" si="10"/>
        <v>#NAME?</v>
      </c>
      <c r="C136" t="e">
        <f t="shared" ca="1" si="11"/>
        <v>#NAME?</v>
      </c>
      <c r="D136" t="e">
        <f t="shared" ca="1" si="12"/>
        <v>#NAME?</v>
      </c>
      <c r="E136" t="e">
        <f t="shared" ca="1" si="13"/>
        <v>#NAME?</v>
      </c>
      <c r="F136" s="41" t="s">
        <v>702</v>
      </c>
      <c r="G136" s="41">
        <f t="shared" ca="1" si="14"/>
        <v>246</v>
      </c>
      <c r="H136" s="41">
        <f t="shared" ca="1" si="15"/>
        <v>135</v>
      </c>
      <c r="I136" s="41">
        <f t="shared" ca="1" si="17"/>
        <v>135</v>
      </c>
      <c r="J136" s="41" t="e">
        <f ca="1">IF(H136=0,0,TableSearch(H136,arrayspace,$J$8,$J$7))</f>
        <v>#NAME?</v>
      </c>
      <c r="K136" s="41" t="e">
        <f t="shared" ca="1" si="16"/>
        <v>#NAME?</v>
      </c>
    </row>
    <row r="137" spans="1:11" x14ac:dyDescent="0.25">
      <c r="A137" t="e">
        <f t="shared" ca="1" si="9"/>
        <v>#NAME?</v>
      </c>
      <c r="B137" t="e">
        <f t="shared" ca="1" si="10"/>
        <v>#NAME?</v>
      </c>
      <c r="C137" t="e">
        <f t="shared" ca="1" si="11"/>
        <v>#NAME?</v>
      </c>
      <c r="D137" t="e">
        <f t="shared" ca="1" si="12"/>
        <v>#NAME?</v>
      </c>
      <c r="E137" t="e">
        <f t="shared" ca="1" si="13"/>
        <v>#NAME?</v>
      </c>
      <c r="F137" s="41" t="s">
        <v>703</v>
      </c>
      <c r="G137" s="41">
        <f t="shared" ca="1" si="14"/>
        <v>202</v>
      </c>
      <c r="H137" s="41">
        <f t="shared" ca="1" si="15"/>
        <v>134</v>
      </c>
      <c r="I137" s="41">
        <f t="shared" ca="1" si="17"/>
        <v>134</v>
      </c>
      <c r="J137" s="41" t="e">
        <f ca="1">IF(H137=0,0,TableSearch(H137,arrayspace,$J$8,$J$7))</f>
        <v>#NAME?</v>
      </c>
      <c r="K137" s="41" t="e">
        <f t="shared" ca="1" si="16"/>
        <v>#NAME?</v>
      </c>
    </row>
    <row r="138" spans="1:11" x14ac:dyDescent="0.25">
      <c r="A138" t="e">
        <f t="shared" ca="1" si="9"/>
        <v>#NAME?</v>
      </c>
      <c r="B138" t="e">
        <f t="shared" ca="1" si="10"/>
        <v>#NAME?</v>
      </c>
      <c r="C138" t="e">
        <f t="shared" ca="1" si="11"/>
        <v>#NAME?</v>
      </c>
      <c r="D138" t="e">
        <f t="shared" ca="1" si="12"/>
        <v>#NAME?</v>
      </c>
      <c r="E138" t="e">
        <f t="shared" ca="1" si="13"/>
        <v>#NAME?</v>
      </c>
      <c r="F138" s="41" t="s">
        <v>704</v>
      </c>
      <c r="G138" s="41">
        <f t="shared" ca="1" si="14"/>
        <v>219</v>
      </c>
      <c r="H138" s="41">
        <f t="shared" ca="1" si="15"/>
        <v>133</v>
      </c>
      <c r="I138" s="41">
        <f t="shared" ca="1" si="17"/>
        <v>133</v>
      </c>
      <c r="J138" s="41" t="e">
        <f ca="1">IF(H138=0,0,TableSearch(H138,arrayspace,$J$8,$J$7))</f>
        <v>#NAME?</v>
      </c>
      <c r="K138" s="41" t="e">
        <f t="shared" ca="1" si="16"/>
        <v>#NAME?</v>
      </c>
    </row>
    <row r="139" spans="1:11" x14ac:dyDescent="0.25">
      <c r="A139" t="e">
        <f t="shared" ca="1" si="9"/>
        <v>#NAME?</v>
      </c>
      <c r="B139" t="e">
        <f t="shared" ca="1" si="10"/>
        <v>#NAME?</v>
      </c>
      <c r="C139" t="e">
        <f t="shared" ca="1" si="11"/>
        <v>#NAME?</v>
      </c>
      <c r="D139" t="e">
        <f t="shared" ca="1" si="12"/>
        <v>#NAME?</v>
      </c>
      <c r="E139" t="e">
        <f t="shared" ca="1" si="13"/>
        <v>#NAME?</v>
      </c>
      <c r="F139" s="41" t="s">
        <v>705</v>
      </c>
      <c r="G139" s="41">
        <f t="shared" ca="1" si="14"/>
        <v>234</v>
      </c>
      <c r="H139" s="41">
        <f t="shared" ca="1" si="15"/>
        <v>132</v>
      </c>
      <c r="I139" s="41">
        <f t="shared" ca="1" si="17"/>
        <v>132</v>
      </c>
      <c r="J139" s="41" t="e">
        <f ca="1">IF(H139=0,0,TableSearch(H139,arrayspace,$J$8,$J$7))</f>
        <v>#NAME?</v>
      </c>
      <c r="K139" s="41" t="e">
        <f t="shared" ca="1" si="16"/>
        <v>#NAME?</v>
      </c>
    </row>
    <row r="140" spans="1:11" x14ac:dyDescent="0.25">
      <c r="A140" t="e">
        <f t="shared" ca="1" si="9"/>
        <v>#NAME?</v>
      </c>
      <c r="B140" t="e">
        <f t="shared" ca="1" si="10"/>
        <v>#NAME?</v>
      </c>
      <c r="C140" t="e">
        <f t="shared" ca="1" si="11"/>
        <v>#NAME?</v>
      </c>
      <c r="D140" t="e">
        <f t="shared" ca="1" si="12"/>
        <v>#NAME?</v>
      </c>
      <c r="E140" t="e">
        <f t="shared" ca="1" si="13"/>
        <v>#NAME?</v>
      </c>
      <c r="F140" s="41" t="s">
        <v>706</v>
      </c>
      <c r="G140" s="41">
        <f t="shared" ca="1" si="14"/>
        <v>203</v>
      </c>
      <c r="H140" s="41">
        <f t="shared" ca="1" si="15"/>
        <v>131</v>
      </c>
      <c r="I140" s="41">
        <f t="shared" ca="1" si="17"/>
        <v>131</v>
      </c>
      <c r="J140" s="41" t="e">
        <f ca="1">IF(H140=0,0,TableSearch(H140,arrayspace,$J$8,$J$7))</f>
        <v>#NAME?</v>
      </c>
      <c r="K140" s="41" t="e">
        <f t="shared" ca="1" si="16"/>
        <v>#NAME?</v>
      </c>
    </row>
    <row r="141" spans="1:11" x14ac:dyDescent="0.25">
      <c r="A141" t="e">
        <f t="shared" ca="1" si="9"/>
        <v>#NAME?</v>
      </c>
      <c r="B141" t="e">
        <f t="shared" ca="1" si="10"/>
        <v>#NAME?</v>
      </c>
      <c r="C141" t="e">
        <f t="shared" ca="1" si="11"/>
        <v>#NAME?</v>
      </c>
      <c r="D141" t="e">
        <f t="shared" ca="1" si="12"/>
        <v>#NAME?</v>
      </c>
      <c r="E141" t="e">
        <f t="shared" ca="1" si="13"/>
        <v>#NAME?</v>
      </c>
      <c r="F141" s="41" t="s">
        <v>707</v>
      </c>
      <c r="G141" s="41">
        <f t="shared" ca="1" si="14"/>
        <v>220</v>
      </c>
      <c r="H141" s="41">
        <f t="shared" ca="1" si="15"/>
        <v>130</v>
      </c>
      <c r="I141" s="41">
        <f t="shared" ca="1" si="17"/>
        <v>130</v>
      </c>
      <c r="J141" s="41" t="e">
        <f ca="1">IF(H141=0,0,TableSearch(H141,arrayspace,$J$8,$J$7))</f>
        <v>#NAME?</v>
      </c>
      <c r="K141" s="41" t="e">
        <f t="shared" ca="1" si="16"/>
        <v>#NAME?</v>
      </c>
    </row>
    <row r="142" spans="1:11" x14ac:dyDescent="0.25">
      <c r="A142" t="e">
        <f t="shared" ca="1" si="9"/>
        <v>#NAME?</v>
      </c>
      <c r="B142" t="e">
        <f t="shared" ca="1" si="10"/>
        <v>#NAME?</v>
      </c>
      <c r="C142" t="e">
        <f t="shared" ca="1" si="11"/>
        <v>#NAME?</v>
      </c>
      <c r="D142" t="e">
        <f t="shared" ca="1" si="12"/>
        <v>#NAME?</v>
      </c>
      <c r="E142" t="e">
        <f t="shared" ca="1" si="13"/>
        <v>#NAME?</v>
      </c>
      <c r="F142" s="41" t="s">
        <v>708</v>
      </c>
      <c r="G142" s="41">
        <f t="shared" ca="1" si="14"/>
        <v>204</v>
      </c>
      <c r="H142" s="41">
        <f t="shared" ca="1" si="15"/>
        <v>129</v>
      </c>
      <c r="I142" s="41">
        <f t="shared" ca="1" si="17"/>
        <v>129</v>
      </c>
      <c r="J142" s="41" t="e">
        <f ca="1">IF(H142=0,0,TableSearch(H142,arrayspace,$J$8,$J$7))</f>
        <v>#NAME?</v>
      </c>
      <c r="K142" s="41" t="e">
        <f t="shared" ca="1" si="16"/>
        <v>#NAME?</v>
      </c>
    </row>
    <row r="143" spans="1:11" x14ac:dyDescent="0.25">
      <c r="A143" t="e">
        <f t="shared" ca="1" si="9"/>
        <v>#NAME?</v>
      </c>
      <c r="B143" t="e">
        <f t="shared" ca="1" si="10"/>
        <v>#NAME?</v>
      </c>
      <c r="C143" t="e">
        <f t="shared" ca="1" si="11"/>
        <v>#NAME?</v>
      </c>
      <c r="D143" t="e">
        <f t="shared" ca="1" si="12"/>
        <v>#NAME?</v>
      </c>
      <c r="E143" t="e">
        <f t="shared" ca="1" si="13"/>
        <v>#NAME?</v>
      </c>
      <c r="F143" s="41" t="s">
        <v>709</v>
      </c>
      <c r="G143" s="41">
        <f t="shared" ca="1" si="14"/>
        <v>4</v>
      </c>
      <c r="H143" s="41">
        <f t="shared" ca="1" si="15"/>
        <v>128</v>
      </c>
      <c r="I143" s="41">
        <f t="shared" ca="1" si="17"/>
        <v>128</v>
      </c>
      <c r="J143" s="41" t="e">
        <f ca="1">IF(H143=0,0,TableSearch(H143,arrayspace,$J$8,$J$7))</f>
        <v>#NAME?</v>
      </c>
      <c r="K143" s="41" t="e">
        <f t="shared" ca="1" si="16"/>
        <v>#NAME?</v>
      </c>
    </row>
    <row r="144" spans="1:11" x14ac:dyDescent="0.25">
      <c r="A144" t="e">
        <f t="shared" ref="A144:A207" ca="1" si="18">IF(H144=0,"",VALUE(LEFT(J144,FIND(",",J144)-1)))</f>
        <v>#NAME?</v>
      </c>
      <c r="B144" t="e">
        <f t="shared" ref="B144:B207" ca="1" si="19">IF(H144=0,"",ABS(MID(J144,FIND(",",J144)+1,3)))</f>
        <v>#NAME?</v>
      </c>
      <c r="C144" t="e">
        <f t="shared" ref="C144:C207" ca="1" si="20">IF(A144="","",LEFT(IF(A144="","",INDEX($F$15:$G$270,MATCH(H144,$G$15:$G$270,0),1)),1))</f>
        <v>#NAME?</v>
      </c>
      <c r="D144" t="e">
        <f t="shared" ref="D144:D207" ca="1" si="21">IF(C144="","",TRIM(RIGHT(IF(C144="","",INDEX($F$15:$G$270,MATCH(H144,$G$15:$G$270,0),1)),2)))</f>
        <v>#NAME?</v>
      </c>
      <c r="E144" t="e">
        <f t="shared" ref="E144:E207" ca="1" si="22">IF(H144=0,"","elec"&amp;IF($J$6&gt;1,K144&amp;"-","")&amp;H144)</f>
        <v>#NAME?</v>
      </c>
      <c r="F144" s="41" t="s">
        <v>710</v>
      </c>
      <c r="G144" s="41">
        <f t="shared" ref="G144:G207" ca="1" si="23">INDIRECT("'"&amp;$J$2&amp;"'!R"&amp;(VALUE(MID($F144,3,2))-1)+$J$3&amp;"C"&amp;$J$4+IF(LEFT($F144,1)="A",1,0)+IF(LEFT($F144,1)="B",5,0)+IF(LEFT($F144,1)="C",9,0)+IF(LEFT($F144,1)="D",13,0)+IF(LEFT($F144,1)="E",17,0)+IF(LEFT($F144,1)="F",21,0)+IF(LEFT($F144,1)="G",25,0)+IF(LEFT($F144,1)="H",29,0),0)</f>
        <v>13</v>
      </c>
      <c r="H144" s="41">
        <f t="shared" ref="H144:H207" ca="1" si="24">I144</f>
        <v>127</v>
      </c>
      <c r="I144" s="41">
        <f t="shared" ca="1" si="17"/>
        <v>127</v>
      </c>
      <c r="J144" s="41" t="e">
        <f ca="1">IF(H144=0,0,TableSearch(H144,arrayspace,$J$8,$J$7))</f>
        <v>#NAME?</v>
      </c>
      <c r="K144" s="41" t="e">
        <f t="shared" ref="K144:K207" ca="1" si="25">IF(H144=0,0,INDIRECT("'"&amp;$J$2&amp;"'!"&amp;$J$5&amp;(-B144+$J$7+$J$9)))</f>
        <v>#NAME?</v>
      </c>
    </row>
    <row r="145" spans="1:11" x14ac:dyDescent="0.25">
      <c r="A145" t="e">
        <f t="shared" ca="1" si="18"/>
        <v>#NAME?</v>
      </c>
      <c r="B145" t="e">
        <f t="shared" ca="1" si="19"/>
        <v>#NAME?</v>
      </c>
      <c r="C145" t="e">
        <f t="shared" ca="1" si="20"/>
        <v>#NAME?</v>
      </c>
      <c r="D145" t="e">
        <f t="shared" ca="1" si="21"/>
        <v>#NAME?</v>
      </c>
      <c r="E145" t="e">
        <f t="shared" ca="1" si="22"/>
        <v>#NAME?</v>
      </c>
      <c r="F145" s="41" t="s">
        <v>711</v>
      </c>
      <c r="G145" s="41">
        <f t="shared" ca="1" si="23"/>
        <v>24</v>
      </c>
      <c r="H145" s="41">
        <f t="shared" ca="1" si="24"/>
        <v>126</v>
      </c>
      <c r="I145" s="41">
        <f t="shared" ref="I145:I208" ca="1" si="26">IF(ISNA(MATCH($I$15-(ROW()-15),$G$15:$G$270,0)),0,$I$15-(ROW()-15))</f>
        <v>126</v>
      </c>
      <c r="J145" s="41" t="e">
        <f ca="1">IF(H145=0,0,TableSearch(H145,arrayspace,$J$8,$J$7))</f>
        <v>#NAME?</v>
      </c>
      <c r="K145" s="41" t="e">
        <f t="shared" ca="1" si="25"/>
        <v>#NAME?</v>
      </c>
    </row>
    <row r="146" spans="1:11" x14ac:dyDescent="0.25">
      <c r="A146" t="e">
        <f t="shared" ca="1" si="18"/>
        <v>#NAME?</v>
      </c>
      <c r="B146" t="e">
        <f t="shared" ca="1" si="19"/>
        <v>#NAME?</v>
      </c>
      <c r="C146" t="e">
        <f t="shared" ca="1" si="20"/>
        <v>#NAME?</v>
      </c>
      <c r="D146" t="e">
        <f t="shared" ca="1" si="21"/>
        <v>#NAME?</v>
      </c>
      <c r="E146" t="e">
        <f t="shared" ca="1" si="22"/>
        <v>#NAME?</v>
      </c>
      <c r="F146" s="41" t="s">
        <v>712</v>
      </c>
      <c r="G146" s="41">
        <f t="shared" ca="1" si="23"/>
        <v>37</v>
      </c>
      <c r="H146" s="41">
        <f t="shared" ca="1" si="24"/>
        <v>125</v>
      </c>
      <c r="I146" s="41">
        <f t="shared" ca="1" si="26"/>
        <v>125</v>
      </c>
      <c r="J146" s="41" t="e">
        <f ca="1">IF(H146=0,0,TableSearch(H146,arrayspace,$J$8,$J$7))</f>
        <v>#NAME?</v>
      </c>
      <c r="K146" s="41" t="e">
        <f t="shared" ca="1" si="25"/>
        <v>#NAME?</v>
      </c>
    </row>
    <row r="147" spans="1:11" x14ac:dyDescent="0.25">
      <c r="A147" t="e">
        <f t="shared" ca="1" si="18"/>
        <v>#NAME?</v>
      </c>
      <c r="B147" t="e">
        <f t="shared" ca="1" si="19"/>
        <v>#NAME?</v>
      </c>
      <c r="C147" t="e">
        <f t="shared" ca="1" si="20"/>
        <v>#NAME?</v>
      </c>
      <c r="D147" t="e">
        <f t="shared" ca="1" si="21"/>
        <v>#NAME?</v>
      </c>
      <c r="E147" t="e">
        <f t="shared" ca="1" si="22"/>
        <v>#NAME?</v>
      </c>
      <c r="F147" s="41" t="s">
        <v>713</v>
      </c>
      <c r="G147" s="41">
        <f t="shared" ca="1" si="23"/>
        <v>52</v>
      </c>
      <c r="H147" s="41">
        <f t="shared" ca="1" si="24"/>
        <v>124</v>
      </c>
      <c r="I147" s="41">
        <f t="shared" ca="1" si="26"/>
        <v>124</v>
      </c>
      <c r="J147" s="41" t="e">
        <f ca="1">IF(H147=0,0,TableSearch(H147,arrayspace,$J$8,$J$7))</f>
        <v>#NAME?</v>
      </c>
      <c r="K147" s="41" t="e">
        <f t="shared" ca="1" si="25"/>
        <v>#NAME?</v>
      </c>
    </row>
    <row r="148" spans="1:11" x14ac:dyDescent="0.25">
      <c r="A148" t="e">
        <f t="shared" ca="1" si="18"/>
        <v>#NAME?</v>
      </c>
      <c r="B148" t="e">
        <f t="shared" ca="1" si="19"/>
        <v>#NAME?</v>
      </c>
      <c r="C148" t="e">
        <f t="shared" ca="1" si="20"/>
        <v>#NAME?</v>
      </c>
      <c r="D148" t="e">
        <f t="shared" ca="1" si="21"/>
        <v>#NAME?</v>
      </c>
      <c r="E148" t="e">
        <f t="shared" ca="1" si="22"/>
        <v>#NAME?</v>
      </c>
      <c r="F148" s="41" t="s">
        <v>714</v>
      </c>
      <c r="G148" s="41">
        <f t="shared" ca="1" si="23"/>
        <v>69</v>
      </c>
      <c r="H148" s="41">
        <f t="shared" ca="1" si="24"/>
        <v>123</v>
      </c>
      <c r="I148" s="41">
        <f t="shared" ca="1" si="26"/>
        <v>123</v>
      </c>
      <c r="J148" s="41" t="e">
        <f ca="1">IF(H148=0,0,TableSearch(H148,arrayspace,$J$8,$J$7))</f>
        <v>#NAME?</v>
      </c>
      <c r="K148" s="41" t="e">
        <f t="shared" ca="1" si="25"/>
        <v>#NAME?</v>
      </c>
    </row>
    <row r="149" spans="1:11" x14ac:dyDescent="0.25">
      <c r="A149" t="e">
        <f t="shared" ca="1" si="18"/>
        <v>#NAME?</v>
      </c>
      <c r="B149" t="e">
        <f t="shared" ca="1" si="19"/>
        <v>#NAME?</v>
      </c>
      <c r="C149" t="e">
        <f t="shared" ca="1" si="20"/>
        <v>#NAME?</v>
      </c>
      <c r="D149" t="e">
        <f t="shared" ca="1" si="21"/>
        <v>#NAME?</v>
      </c>
      <c r="E149" t="e">
        <f t="shared" ca="1" si="22"/>
        <v>#NAME?</v>
      </c>
      <c r="F149" s="41" t="s">
        <v>715</v>
      </c>
      <c r="G149" s="41">
        <f t="shared" ca="1" si="23"/>
        <v>3</v>
      </c>
      <c r="H149" s="41">
        <f t="shared" ca="1" si="24"/>
        <v>122</v>
      </c>
      <c r="I149" s="41">
        <f t="shared" ca="1" si="26"/>
        <v>122</v>
      </c>
      <c r="J149" s="41" t="e">
        <f ca="1">IF(H149=0,0,TableSearch(H149,arrayspace,$J$8,$J$7))</f>
        <v>#NAME?</v>
      </c>
      <c r="K149" s="41" t="e">
        <f t="shared" ca="1" si="25"/>
        <v>#NAME?</v>
      </c>
    </row>
    <row r="150" spans="1:11" x14ac:dyDescent="0.25">
      <c r="A150" t="e">
        <f t="shared" ca="1" si="18"/>
        <v>#NAME?</v>
      </c>
      <c r="B150" t="e">
        <f t="shared" ca="1" si="19"/>
        <v>#NAME?</v>
      </c>
      <c r="C150" t="e">
        <f t="shared" ca="1" si="20"/>
        <v>#NAME?</v>
      </c>
      <c r="D150" t="e">
        <f t="shared" ca="1" si="21"/>
        <v>#NAME?</v>
      </c>
      <c r="E150" t="e">
        <f t="shared" ca="1" si="22"/>
        <v>#NAME?</v>
      </c>
      <c r="F150" s="41" t="s">
        <v>716</v>
      </c>
      <c r="G150" s="41">
        <f t="shared" ca="1" si="23"/>
        <v>12</v>
      </c>
      <c r="H150" s="41">
        <f t="shared" ca="1" si="24"/>
        <v>121</v>
      </c>
      <c r="I150" s="41">
        <f t="shared" ca="1" si="26"/>
        <v>121</v>
      </c>
      <c r="J150" s="41" t="e">
        <f ca="1">IF(H150=0,0,TableSearch(H150,arrayspace,$J$8,$J$7))</f>
        <v>#NAME?</v>
      </c>
      <c r="K150" s="41" t="e">
        <f t="shared" ca="1" si="25"/>
        <v>#NAME?</v>
      </c>
    </row>
    <row r="151" spans="1:11" x14ac:dyDescent="0.25">
      <c r="A151" t="e">
        <f t="shared" ca="1" si="18"/>
        <v>#NAME?</v>
      </c>
      <c r="B151" t="e">
        <f t="shared" ca="1" si="19"/>
        <v>#NAME?</v>
      </c>
      <c r="C151" t="e">
        <f t="shared" ca="1" si="20"/>
        <v>#NAME?</v>
      </c>
      <c r="D151" t="e">
        <f t="shared" ca="1" si="21"/>
        <v>#NAME?</v>
      </c>
      <c r="E151" t="e">
        <f t="shared" ca="1" si="22"/>
        <v>#NAME?</v>
      </c>
      <c r="F151" s="41" t="s">
        <v>717</v>
      </c>
      <c r="G151" s="41">
        <f t="shared" ca="1" si="23"/>
        <v>23</v>
      </c>
      <c r="H151" s="41">
        <f t="shared" ca="1" si="24"/>
        <v>120</v>
      </c>
      <c r="I151" s="41">
        <f t="shared" ca="1" si="26"/>
        <v>120</v>
      </c>
      <c r="J151" s="41" t="e">
        <f ca="1">IF(H151=0,0,TableSearch(H151,arrayspace,$J$8,$J$7))</f>
        <v>#NAME?</v>
      </c>
      <c r="K151" s="41" t="e">
        <f t="shared" ca="1" si="25"/>
        <v>#NAME?</v>
      </c>
    </row>
    <row r="152" spans="1:11" x14ac:dyDescent="0.25">
      <c r="A152" t="e">
        <f t="shared" ca="1" si="18"/>
        <v>#NAME?</v>
      </c>
      <c r="B152" t="e">
        <f t="shared" ca="1" si="19"/>
        <v>#NAME?</v>
      </c>
      <c r="C152" t="e">
        <f t="shared" ca="1" si="20"/>
        <v>#NAME?</v>
      </c>
      <c r="D152" t="e">
        <f t="shared" ca="1" si="21"/>
        <v>#NAME?</v>
      </c>
      <c r="E152" t="e">
        <f t="shared" ca="1" si="22"/>
        <v>#NAME?</v>
      </c>
      <c r="F152" s="41" t="s">
        <v>718</v>
      </c>
      <c r="G152" s="41">
        <f t="shared" ca="1" si="23"/>
        <v>36</v>
      </c>
      <c r="H152" s="41">
        <f t="shared" ca="1" si="24"/>
        <v>119</v>
      </c>
      <c r="I152" s="41">
        <f t="shared" ca="1" si="26"/>
        <v>119</v>
      </c>
      <c r="J152" s="41" t="e">
        <f ca="1">IF(H152=0,0,TableSearch(H152,arrayspace,$J$8,$J$7))</f>
        <v>#NAME?</v>
      </c>
      <c r="K152" s="41" t="e">
        <f t="shared" ca="1" si="25"/>
        <v>#NAME?</v>
      </c>
    </row>
    <row r="153" spans="1:11" x14ac:dyDescent="0.25">
      <c r="A153" t="e">
        <f t="shared" ca="1" si="18"/>
        <v>#NAME?</v>
      </c>
      <c r="B153" t="e">
        <f t="shared" ca="1" si="19"/>
        <v>#NAME?</v>
      </c>
      <c r="C153" t="e">
        <f t="shared" ca="1" si="20"/>
        <v>#NAME?</v>
      </c>
      <c r="D153" t="e">
        <f t="shared" ca="1" si="21"/>
        <v>#NAME?</v>
      </c>
      <c r="E153" t="e">
        <f t="shared" ca="1" si="22"/>
        <v>#NAME?</v>
      </c>
      <c r="F153" s="41" t="s">
        <v>719</v>
      </c>
      <c r="G153" s="41">
        <f t="shared" ca="1" si="23"/>
        <v>51</v>
      </c>
      <c r="H153" s="41">
        <f t="shared" ca="1" si="24"/>
        <v>118</v>
      </c>
      <c r="I153" s="41">
        <f t="shared" ca="1" si="26"/>
        <v>118</v>
      </c>
      <c r="J153" s="41" t="e">
        <f ca="1">IF(H153=0,0,TableSearch(H153,arrayspace,$J$8,$J$7))</f>
        <v>#NAME?</v>
      </c>
      <c r="K153" s="41" t="e">
        <f t="shared" ca="1" si="25"/>
        <v>#NAME?</v>
      </c>
    </row>
    <row r="154" spans="1:11" x14ac:dyDescent="0.25">
      <c r="A154" t="e">
        <f t="shared" ca="1" si="18"/>
        <v>#NAME?</v>
      </c>
      <c r="B154" t="e">
        <f t="shared" ca="1" si="19"/>
        <v>#NAME?</v>
      </c>
      <c r="C154" t="e">
        <f t="shared" ca="1" si="20"/>
        <v>#NAME?</v>
      </c>
      <c r="D154" t="e">
        <f t="shared" ca="1" si="21"/>
        <v>#NAME?</v>
      </c>
      <c r="E154" t="e">
        <f t="shared" ca="1" si="22"/>
        <v>#NAME?</v>
      </c>
      <c r="F154" s="41" t="s">
        <v>720</v>
      </c>
      <c r="G154" s="41">
        <f t="shared" ca="1" si="23"/>
        <v>68</v>
      </c>
      <c r="H154" s="41">
        <f t="shared" ca="1" si="24"/>
        <v>117</v>
      </c>
      <c r="I154" s="41">
        <f t="shared" ca="1" si="26"/>
        <v>117</v>
      </c>
      <c r="J154" s="41" t="e">
        <f ca="1">IF(H154=0,0,TableSearch(H154,arrayspace,$J$8,$J$7))</f>
        <v>#NAME?</v>
      </c>
      <c r="K154" s="41" t="e">
        <f t="shared" ca="1" si="25"/>
        <v>#NAME?</v>
      </c>
    </row>
    <row r="155" spans="1:11" x14ac:dyDescent="0.25">
      <c r="A155" t="e">
        <f t="shared" ca="1" si="18"/>
        <v>#NAME?</v>
      </c>
      <c r="B155" t="e">
        <f t="shared" ca="1" si="19"/>
        <v>#NAME?</v>
      </c>
      <c r="C155" t="e">
        <f t="shared" ca="1" si="20"/>
        <v>#NAME?</v>
      </c>
      <c r="D155" t="e">
        <f t="shared" ca="1" si="21"/>
        <v>#NAME?</v>
      </c>
      <c r="E155" t="e">
        <f t="shared" ca="1" si="22"/>
        <v>#NAME?</v>
      </c>
      <c r="F155" s="41" t="s">
        <v>721</v>
      </c>
      <c r="G155" s="41">
        <f t="shared" ca="1" si="23"/>
        <v>2</v>
      </c>
      <c r="H155" s="41">
        <f t="shared" ca="1" si="24"/>
        <v>116</v>
      </c>
      <c r="I155" s="41">
        <f t="shared" ca="1" si="26"/>
        <v>116</v>
      </c>
      <c r="J155" s="41" t="e">
        <f ca="1">IF(H155=0,0,TableSearch(H155,arrayspace,$J$8,$J$7))</f>
        <v>#NAME?</v>
      </c>
      <c r="K155" s="41" t="e">
        <f t="shared" ca="1" si="25"/>
        <v>#NAME?</v>
      </c>
    </row>
    <row r="156" spans="1:11" x14ac:dyDescent="0.25">
      <c r="A156" t="e">
        <f t="shared" ca="1" si="18"/>
        <v>#NAME?</v>
      </c>
      <c r="B156" t="e">
        <f t="shared" ca="1" si="19"/>
        <v>#NAME?</v>
      </c>
      <c r="C156" t="e">
        <f t="shared" ca="1" si="20"/>
        <v>#NAME?</v>
      </c>
      <c r="D156" t="e">
        <f t="shared" ca="1" si="21"/>
        <v>#NAME?</v>
      </c>
      <c r="E156" t="e">
        <f t="shared" ca="1" si="22"/>
        <v>#NAME?</v>
      </c>
      <c r="F156" s="41" t="s">
        <v>722</v>
      </c>
      <c r="G156" s="41">
        <f t="shared" ca="1" si="23"/>
        <v>11</v>
      </c>
      <c r="H156" s="41">
        <f t="shared" ca="1" si="24"/>
        <v>115</v>
      </c>
      <c r="I156" s="41">
        <f t="shared" ca="1" si="26"/>
        <v>115</v>
      </c>
      <c r="J156" s="41" t="e">
        <f ca="1">IF(H156=0,0,TableSearch(H156,arrayspace,$J$8,$J$7))</f>
        <v>#NAME?</v>
      </c>
      <c r="K156" s="41" t="e">
        <f t="shared" ca="1" si="25"/>
        <v>#NAME?</v>
      </c>
    </row>
    <row r="157" spans="1:11" x14ac:dyDescent="0.25">
      <c r="A157" t="e">
        <f t="shared" ca="1" si="18"/>
        <v>#NAME?</v>
      </c>
      <c r="B157" t="e">
        <f t="shared" ca="1" si="19"/>
        <v>#NAME?</v>
      </c>
      <c r="C157" t="e">
        <f t="shared" ca="1" si="20"/>
        <v>#NAME?</v>
      </c>
      <c r="D157" t="e">
        <f t="shared" ca="1" si="21"/>
        <v>#NAME?</v>
      </c>
      <c r="E157" t="e">
        <f t="shared" ca="1" si="22"/>
        <v>#NAME?</v>
      </c>
      <c r="F157" s="41" t="s">
        <v>723</v>
      </c>
      <c r="G157" s="41">
        <f t="shared" ca="1" si="23"/>
        <v>22</v>
      </c>
      <c r="H157" s="41">
        <f t="shared" ca="1" si="24"/>
        <v>114</v>
      </c>
      <c r="I157" s="41">
        <f t="shared" ca="1" si="26"/>
        <v>114</v>
      </c>
      <c r="J157" s="41" t="e">
        <f ca="1">IF(H157=0,0,TableSearch(H157,arrayspace,$J$8,$J$7))</f>
        <v>#NAME?</v>
      </c>
      <c r="K157" s="41" t="e">
        <f t="shared" ca="1" si="25"/>
        <v>#NAME?</v>
      </c>
    </row>
    <row r="158" spans="1:11" x14ac:dyDescent="0.25">
      <c r="A158" t="e">
        <f t="shared" ca="1" si="18"/>
        <v>#NAME?</v>
      </c>
      <c r="B158" t="e">
        <f t="shared" ca="1" si="19"/>
        <v>#NAME?</v>
      </c>
      <c r="C158" t="e">
        <f t="shared" ca="1" si="20"/>
        <v>#NAME?</v>
      </c>
      <c r="D158" t="e">
        <f t="shared" ca="1" si="21"/>
        <v>#NAME?</v>
      </c>
      <c r="E158" t="e">
        <f t="shared" ca="1" si="22"/>
        <v>#NAME?</v>
      </c>
      <c r="F158" s="41" t="s">
        <v>724</v>
      </c>
      <c r="G158" s="41">
        <f t="shared" ca="1" si="23"/>
        <v>35</v>
      </c>
      <c r="H158" s="41">
        <f t="shared" ca="1" si="24"/>
        <v>113</v>
      </c>
      <c r="I158" s="41">
        <f t="shared" ca="1" si="26"/>
        <v>113</v>
      </c>
      <c r="J158" s="41" t="e">
        <f ca="1">IF(H158=0,0,TableSearch(H158,arrayspace,$J$8,$J$7))</f>
        <v>#NAME?</v>
      </c>
      <c r="K158" s="41" t="e">
        <f t="shared" ca="1" si="25"/>
        <v>#NAME?</v>
      </c>
    </row>
    <row r="159" spans="1:11" x14ac:dyDescent="0.25">
      <c r="A159" t="e">
        <f t="shared" ca="1" si="18"/>
        <v>#NAME?</v>
      </c>
      <c r="B159" t="e">
        <f t="shared" ca="1" si="19"/>
        <v>#NAME?</v>
      </c>
      <c r="C159" t="e">
        <f t="shared" ca="1" si="20"/>
        <v>#NAME?</v>
      </c>
      <c r="D159" t="e">
        <f t="shared" ca="1" si="21"/>
        <v>#NAME?</v>
      </c>
      <c r="E159" t="e">
        <f t="shared" ca="1" si="22"/>
        <v>#NAME?</v>
      </c>
      <c r="F159" s="41" t="s">
        <v>725</v>
      </c>
      <c r="G159" s="41">
        <f t="shared" ca="1" si="23"/>
        <v>50</v>
      </c>
      <c r="H159" s="41">
        <f t="shared" ca="1" si="24"/>
        <v>112</v>
      </c>
      <c r="I159" s="41">
        <f t="shared" ca="1" si="26"/>
        <v>112</v>
      </c>
      <c r="J159" s="41" t="e">
        <f ca="1">IF(H159=0,0,TableSearch(H159,arrayspace,$J$8,$J$7))</f>
        <v>#NAME?</v>
      </c>
      <c r="K159" s="41" t="e">
        <f t="shared" ca="1" si="25"/>
        <v>#NAME?</v>
      </c>
    </row>
    <row r="160" spans="1:11" x14ac:dyDescent="0.25">
      <c r="A160" t="e">
        <f t="shared" ca="1" si="18"/>
        <v>#NAME?</v>
      </c>
      <c r="B160" t="e">
        <f t="shared" ca="1" si="19"/>
        <v>#NAME?</v>
      </c>
      <c r="C160" t="e">
        <f t="shared" ca="1" si="20"/>
        <v>#NAME?</v>
      </c>
      <c r="D160" t="e">
        <f t="shared" ca="1" si="21"/>
        <v>#NAME?</v>
      </c>
      <c r="E160" t="e">
        <f t="shared" ca="1" si="22"/>
        <v>#NAME?</v>
      </c>
      <c r="F160" s="41" t="s">
        <v>726</v>
      </c>
      <c r="G160" s="41">
        <f t="shared" ca="1" si="23"/>
        <v>1</v>
      </c>
      <c r="H160" s="41">
        <f t="shared" ca="1" si="24"/>
        <v>111</v>
      </c>
      <c r="I160" s="41">
        <f t="shared" ca="1" si="26"/>
        <v>111</v>
      </c>
      <c r="J160" s="41" t="e">
        <f ca="1">IF(H160=0,0,TableSearch(H160,arrayspace,$J$8,$J$7))</f>
        <v>#NAME?</v>
      </c>
      <c r="K160" s="41" t="e">
        <f t="shared" ca="1" si="25"/>
        <v>#NAME?</v>
      </c>
    </row>
    <row r="161" spans="1:11" x14ac:dyDescent="0.25">
      <c r="A161" t="e">
        <f t="shared" ca="1" si="18"/>
        <v>#NAME?</v>
      </c>
      <c r="B161" t="e">
        <f t="shared" ca="1" si="19"/>
        <v>#NAME?</v>
      </c>
      <c r="C161" t="e">
        <f t="shared" ca="1" si="20"/>
        <v>#NAME?</v>
      </c>
      <c r="D161" t="e">
        <f t="shared" ca="1" si="21"/>
        <v>#NAME?</v>
      </c>
      <c r="E161" t="e">
        <f t="shared" ca="1" si="22"/>
        <v>#NAME?</v>
      </c>
      <c r="F161" s="41" t="s">
        <v>727</v>
      </c>
      <c r="G161" s="41">
        <f t="shared" ca="1" si="23"/>
        <v>10</v>
      </c>
      <c r="H161" s="41">
        <f t="shared" ca="1" si="24"/>
        <v>110</v>
      </c>
      <c r="I161" s="41">
        <f t="shared" ca="1" si="26"/>
        <v>110</v>
      </c>
      <c r="J161" s="41" t="e">
        <f ca="1">IF(H161=0,0,TableSearch(H161,arrayspace,$J$8,$J$7))</f>
        <v>#NAME?</v>
      </c>
      <c r="K161" s="41" t="e">
        <f t="shared" ca="1" si="25"/>
        <v>#NAME?</v>
      </c>
    </row>
    <row r="162" spans="1:11" x14ac:dyDescent="0.25">
      <c r="A162" t="e">
        <f t="shared" ca="1" si="18"/>
        <v>#NAME?</v>
      </c>
      <c r="B162" t="e">
        <f t="shared" ca="1" si="19"/>
        <v>#NAME?</v>
      </c>
      <c r="C162" t="e">
        <f t="shared" ca="1" si="20"/>
        <v>#NAME?</v>
      </c>
      <c r="D162" t="e">
        <f t="shared" ca="1" si="21"/>
        <v>#NAME?</v>
      </c>
      <c r="E162" t="e">
        <f t="shared" ca="1" si="22"/>
        <v>#NAME?</v>
      </c>
      <c r="F162" s="41" t="s">
        <v>728</v>
      </c>
      <c r="G162" s="41">
        <f t="shared" ca="1" si="23"/>
        <v>21</v>
      </c>
      <c r="H162" s="41">
        <f t="shared" ca="1" si="24"/>
        <v>109</v>
      </c>
      <c r="I162" s="41">
        <f t="shared" ca="1" si="26"/>
        <v>109</v>
      </c>
      <c r="J162" s="41" t="e">
        <f ca="1">IF(H162=0,0,TableSearch(H162,arrayspace,$J$8,$J$7))</f>
        <v>#NAME?</v>
      </c>
      <c r="K162" s="41" t="e">
        <f t="shared" ca="1" si="25"/>
        <v>#NAME?</v>
      </c>
    </row>
    <row r="163" spans="1:11" x14ac:dyDescent="0.25">
      <c r="A163" t="e">
        <f t="shared" ca="1" si="18"/>
        <v>#NAME?</v>
      </c>
      <c r="B163" t="e">
        <f t="shared" ca="1" si="19"/>
        <v>#NAME?</v>
      </c>
      <c r="C163" t="e">
        <f t="shared" ca="1" si="20"/>
        <v>#NAME?</v>
      </c>
      <c r="D163" t="e">
        <f t="shared" ca="1" si="21"/>
        <v>#NAME?</v>
      </c>
      <c r="E163" t="e">
        <f t="shared" ca="1" si="22"/>
        <v>#NAME?</v>
      </c>
      <c r="F163" s="41" t="s">
        <v>729</v>
      </c>
      <c r="G163" s="41">
        <f t="shared" ca="1" si="23"/>
        <v>34</v>
      </c>
      <c r="H163" s="41">
        <f t="shared" ca="1" si="24"/>
        <v>108</v>
      </c>
      <c r="I163" s="41">
        <f t="shared" ca="1" si="26"/>
        <v>108</v>
      </c>
      <c r="J163" s="41" t="e">
        <f ca="1">IF(H163=0,0,TableSearch(H163,arrayspace,$J$8,$J$7))</f>
        <v>#NAME?</v>
      </c>
      <c r="K163" s="41" t="e">
        <f t="shared" ca="1" si="25"/>
        <v>#NAME?</v>
      </c>
    </row>
    <row r="164" spans="1:11" x14ac:dyDescent="0.25">
      <c r="A164" t="e">
        <f t="shared" ca="1" si="18"/>
        <v>#NAME?</v>
      </c>
      <c r="B164" t="e">
        <f t="shared" ca="1" si="19"/>
        <v>#NAME?</v>
      </c>
      <c r="C164" t="e">
        <f t="shared" ca="1" si="20"/>
        <v>#NAME?</v>
      </c>
      <c r="D164" t="e">
        <f t="shared" ca="1" si="21"/>
        <v>#NAME?</v>
      </c>
      <c r="E164" t="e">
        <f t="shared" ca="1" si="22"/>
        <v>#NAME?</v>
      </c>
      <c r="F164" s="41" t="s">
        <v>730</v>
      </c>
      <c r="G164" s="41">
        <f t="shared" ca="1" si="23"/>
        <v>49</v>
      </c>
      <c r="H164" s="41">
        <f t="shared" ca="1" si="24"/>
        <v>107</v>
      </c>
      <c r="I164" s="41">
        <f t="shared" ca="1" si="26"/>
        <v>107</v>
      </c>
      <c r="J164" s="41" t="e">
        <f ca="1">IF(H164=0,0,TableSearch(H164,arrayspace,$J$8,$J$7))</f>
        <v>#NAME?</v>
      </c>
      <c r="K164" s="41" t="e">
        <f t="shared" ca="1" si="25"/>
        <v>#NAME?</v>
      </c>
    </row>
    <row r="165" spans="1:11" x14ac:dyDescent="0.25">
      <c r="A165" t="e">
        <f t="shared" ca="1" si="18"/>
        <v>#NAME?</v>
      </c>
      <c r="B165" t="e">
        <f t="shared" ca="1" si="19"/>
        <v>#NAME?</v>
      </c>
      <c r="C165" t="e">
        <f t="shared" ca="1" si="20"/>
        <v>#NAME?</v>
      </c>
      <c r="D165" t="e">
        <f t="shared" ca="1" si="21"/>
        <v>#NAME?</v>
      </c>
      <c r="E165" t="e">
        <f t="shared" ca="1" si="22"/>
        <v>#NAME?</v>
      </c>
      <c r="F165" s="41" t="s">
        <v>731</v>
      </c>
      <c r="G165" s="41">
        <f t="shared" ca="1" si="23"/>
        <v>9</v>
      </c>
      <c r="H165" s="41">
        <f t="shared" ca="1" si="24"/>
        <v>106</v>
      </c>
      <c r="I165" s="41">
        <f t="shared" ca="1" si="26"/>
        <v>106</v>
      </c>
      <c r="J165" s="41" t="e">
        <f ca="1">IF(H165=0,0,TableSearch(H165,arrayspace,$J$8,$J$7))</f>
        <v>#NAME?</v>
      </c>
      <c r="K165" s="41" t="e">
        <f t="shared" ca="1" si="25"/>
        <v>#NAME?</v>
      </c>
    </row>
    <row r="166" spans="1:11" x14ac:dyDescent="0.25">
      <c r="A166" t="e">
        <f t="shared" ca="1" si="18"/>
        <v>#NAME?</v>
      </c>
      <c r="B166" t="e">
        <f t="shared" ca="1" si="19"/>
        <v>#NAME?</v>
      </c>
      <c r="C166" t="e">
        <f t="shared" ca="1" si="20"/>
        <v>#NAME?</v>
      </c>
      <c r="D166" t="e">
        <f t="shared" ca="1" si="21"/>
        <v>#NAME?</v>
      </c>
      <c r="E166" t="e">
        <f t="shared" ca="1" si="22"/>
        <v>#NAME?</v>
      </c>
      <c r="F166" s="41" t="s">
        <v>732</v>
      </c>
      <c r="G166" s="41">
        <f t="shared" ca="1" si="23"/>
        <v>20</v>
      </c>
      <c r="H166" s="41">
        <f t="shared" ca="1" si="24"/>
        <v>105</v>
      </c>
      <c r="I166" s="41">
        <f t="shared" ca="1" si="26"/>
        <v>105</v>
      </c>
      <c r="J166" s="41" t="e">
        <f ca="1">IF(H166=0,0,TableSearch(H166,arrayspace,$J$8,$J$7))</f>
        <v>#NAME?</v>
      </c>
      <c r="K166" s="41" t="e">
        <f t="shared" ca="1" si="25"/>
        <v>#NAME?</v>
      </c>
    </row>
    <row r="167" spans="1:11" x14ac:dyDescent="0.25">
      <c r="A167" t="e">
        <f t="shared" ca="1" si="18"/>
        <v>#NAME?</v>
      </c>
      <c r="B167" t="e">
        <f t="shared" ca="1" si="19"/>
        <v>#NAME?</v>
      </c>
      <c r="C167" t="e">
        <f t="shared" ca="1" si="20"/>
        <v>#NAME?</v>
      </c>
      <c r="D167" t="e">
        <f t="shared" ca="1" si="21"/>
        <v>#NAME?</v>
      </c>
      <c r="E167" t="e">
        <f t="shared" ca="1" si="22"/>
        <v>#NAME?</v>
      </c>
      <c r="F167" s="41" t="s">
        <v>733</v>
      </c>
      <c r="G167" s="41">
        <f t="shared" ca="1" si="23"/>
        <v>33</v>
      </c>
      <c r="H167" s="41">
        <f t="shared" ca="1" si="24"/>
        <v>104</v>
      </c>
      <c r="I167" s="41">
        <f t="shared" ca="1" si="26"/>
        <v>104</v>
      </c>
      <c r="J167" s="41" t="e">
        <f ca="1">IF(H167=0,0,TableSearch(H167,arrayspace,$J$8,$J$7))</f>
        <v>#NAME?</v>
      </c>
      <c r="K167" s="41" t="e">
        <f t="shared" ca="1" si="25"/>
        <v>#NAME?</v>
      </c>
    </row>
    <row r="168" spans="1:11" x14ac:dyDescent="0.25">
      <c r="A168" t="e">
        <f t="shared" ca="1" si="18"/>
        <v>#NAME?</v>
      </c>
      <c r="B168" t="e">
        <f t="shared" ca="1" si="19"/>
        <v>#NAME?</v>
      </c>
      <c r="C168" t="e">
        <f t="shared" ca="1" si="20"/>
        <v>#NAME?</v>
      </c>
      <c r="D168" t="e">
        <f t="shared" ca="1" si="21"/>
        <v>#NAME?</v>
      </c>
      <c r="E168" t="e">
        <f t="shared" ca="1" si="22"/>
        <v>#NAME?</v>
      </c>
      <c r="F168" s="41" t="s">
        <v>734</v>
      </c>
      <c r="G168" s="41">
        <f t="shared" ca="1" si="23"/>
        <v>48</v>
      </c>
      <c r="H168" s="41">
        <f t="shared" ca="1" si="24"/>
        <v>103</v>
      </c>
      <c r="I168" s="41">
        <f t="shared" ca="1" si="26"/>
        <v>103</v>
      </c>
      <c r="J168" s="41" t="e">
        <f ca="1">IF(H168=0,0,TableSearch(H168,arrayspace,$J$8,$J$7))</f>
        <v>#NAME?</v>
      </c>
      <c r="K168" s="41" t="e">
        <f t="shared" ca="1" si="25"/>
        <v>#NAME?</v>
      </c>
    </row>
    <row r="169" spans="1:11" x14ac:dyDescent="0.25">
      <c r="A169" t="e">
        <f t="shared" ca="1" si="18"/>
        <v>#NAME?</v>
      </c>
      <c r="B169" t="e">
        <f t="shared" ca="1" si="19"/>
        <v>#NAME?</v>
      </c>
      <c r="C169" t="e">
        <f t="shared" ca="1" si="20"/>
        <v>#NAME?</v>
      </c>
      <c r="D169" t="e">
        <f t="shared" ca="1" si="21"/>
        <v>#NAME?</v>
      </c>
      <c r="E169" t="e">
        <f t="shared" ca="1" si="22"/>
        <v>#NAME?</v>
      </c>
      <c r="F169" s="41" t="s">
        <v>735</v>
      </c>
      <c r="G169" s="41">
        <f t="shared" ca="1" si="23"/>
        <v>19</v>
      </c>
      <c r="H169" s="41">
        <f t="shared" ca="1" si="24"/>
        <v>102</v>
      </c>
      <c r="I169" s="41">
        <f t="shared" ca="1" si="26"/>
        <v>102</v>
      </c>
      <c r="J169" s="41" t="e">
        <f ca="1">IF(H169=0,0,TableSearch(H169,arrayspace,$J$8,$J$7))</f>
        <v>#NAME?</v>
      </c>
      <c r="K169" s="41" t="e">
        <f t="shared" ca="1" si="25"/>
        <v>#NAME?</v>
      </c>
    </row>
    <row r="170" spans="1:11" x14ac:dyDescent="0.25">
      <c r="A170" t="e">
        <f t="shared" ca="1" si="18"/>
        <v>#NAME?</v>
      </c>
      <c r="B170" t="e">
        <f t="shared" ca="1" si="19"/>
        <v>#NAME?</v>
      </c>
      <c r="C170" t="e">
        <f t="shared" ca="1" si="20"/>
        <v>#NAME?</v>
      </c>
      <c r="D170" t="e">
        <f t="shared" ca="1" si="21"/>
        <v>#NAME?</v>
      </c>
      <c r="E170" t="e">
        <f t="shared" ca="1" si="22"/>
        <v>#NAME?</v>
      </c>
      <c r="F170" s="41" t="s">
        <v>736</v>
      </c>
      <c r="G170" s="41">
        <f t="shared" ca="1" si="23"/>
        <v>32</v>
      </c>
      <c r="H170" s="41">
        <f t="shared" ca="1" si="24"/>
        <v>101</v>
      </c>
      <c r="I170" s="41">
        <f t="shared" ca="1" si="26"/>
        <v>101</v>
      </c>
      <c r="J170" s="41" t="e">
        <f ca="1">IF(H170=0,0,TableSearch(H170,arrayspace,$J$8,$J$7))</f>
        <v>#NAME?</v>
      </c>
      <c r="K170" s="41" t="e">
        <f t="shared" ca="1" si="25"/>
        <v>#NAME?</v>
      </c>
    </row>
    <row r="171" spans="1:11" x14ac:dyDescent="0.25">
      <c r="A171" t="e">
        <f t="shared" ca="1" si="18"/>
        <v>#NAME?</v>
      </c>
      <c r="B171" t="e">
        <f t="shared" ca="1" si="19"/>
        <v>#NAME?</v>
      </c>
      <c r="C171" t="e">
        <f t="shared" ca="1" si="20"/>
        <v>#NAME?</v>
      </c>
      <c r="D171" t="e">
        <f t="shared" ca="1" si="21"/>
        <v>#NAME?</v>
      </c>
      <c r="E171" t="e">
        <f t="shared" ca="1" si="22"/>
        <v>#NAME?</v>
      </c>
      <c r="F171" s="41" t="s">
        <v>737</v>
      </c>
      <c r="G171" s="41">
        <f t="shared" ca="1" si="23"/>
        <v>47</v>
      </c>
      <c r="H171" s="41">
        <f t="shared" ca="1" si="24"/>
        <v>100</v>
      </c>
      <c r="I171" s="41">
        <f t="shared" ca="1" si="26"/>
        <v>100</v>
      </c>
      <c r="J171" s="41" t="e">
        <f ca="1">IF(H171=0,0,TableSearch(H171,arrayspace,$J$8,$J$7))</f>
        <v>#NAME?</v>
      </c>
      <c r="K171" s="41" t="e">
        <f t="shared" ca="1" si="25"/>
        <v>#NAME?</v>
      </c>
    </row>
    <row r="172" spans="1:11" x14ac:dyDescent="0.25">
      <c r="A172" t="e">
        <f t="shared" ca="1" si="18"/>
        <v>#NAME?</v>
      </c>
      <c r="B172" t="e">
        <f t="shared" ca="1" si="19"/>
        <v>#NAME?</v>
      </c>
      <c r="C172" t="e">
        <f t="shared" ca="1" si="20"/>
        <v>#NAME?</v>
      </c>
      <c r="D172" t="e">
        <f t="shared" ca="1" si="21"/>
        <v>#NAME?</v>
      </c>
      <c r="E172" t="e">
        <f t="shared" ca="1" si="22"/>
        <v>#NAME?</v>
      </c>
      <c r="F172" s="41" t="s">
        <v>738</v>
      </c>
      <c r="G172" s="41">
        <f t="shared" ca="1" si="23"/>
        <v>31</v>
      </c>
      <c r="H172" s="41">
        <f t="shared" ca="1" si="24"/>
        <v>99</v>
      </c>
      <c r="I172" s="41">
        <f t="shared" ca="1" si="26"/>
        <v>99</v>
      </c>
      <c r="J172" s="41" t="e">
        <f ca="1">IF(H172=0,0,TableSearch(H172,arrayspace,$J$8,$J$7))</f>
        <v>#NAME?</v>
      </c>
      <c r="K172" s="41" t="e">
        <f t="shared" ca="1" si="25"/>
        <v>#NAME?</v>
      </c>
    </row>
    <row r="173" spans="1:11" x14ac:dyDescent="0.25">
      <c r="A173" t="e">
        <f t="shared" ca="1" si="18"/>
        <v>#NAME?</v>
      </c>
      <c r="B173" t="e">
        <f t="shared" ca="1" si="19"/>
        <v>#NAME?</v>
      </c>
      <c r="C173" t="e">
        <f t="shared" ca="1" si="20"/>
        <v>#NAME?</v>
      </c>
      <c r="D173" t="e">
        <f t="shared" ca="1" si="21"/>
        <v>#NAME?</v>
      </c>
      <c r="E173" t="e">
        <f t="shared" ca="1" si="22"/>
        <v>#NAME?</v>
      </c>
      <c r="F173" s="41" t="s">
        <v>739</v>
      </c>
      <c r="G173" s="41">
        <f t="shared" ca="1" si="23"/>
        <v>46</v>
      </c>
      <c r="H173" s="41">
        <f t="shared" ca="1" si="24"/>
        <v>98</v>
      </c>
      <c r="I173" s="41">
        <f t="shared" ca="1" si="26"/>
        <v>98</v>
      </c>
      <c r="J173" s="41" t="e">
        <f ca="1">IF(H173=0,0,TableSearch(H173,arrayspace,$J$8,$J$7))</f>
        <v>#NAME?</v>
      </c>
      <c r="K173" s="41" t="e">
        <f t="shared" ca="1" si="25"/>
        <v>#NAME?</v>
      </c>
    </row>
    <row r="174" spans="1:11" x14ac:dyDescent="0.25">
      <c r="A174" t="e">
        <f t="shared" ca="1" si="18"/>
        <v>#NAME?</v>
      </c>
      <c r="B174" t="e">
        <f t="shared" ca="1" si="19"/>
        <v>#NAME?</v>
      </c>
      <c r="C174" t="e">
        <f t="shared" ca="1" si="20"/>
        <v>#NAME?</v>
      </c>
      <c r="D174" t="e">
        <f t="shared" ca="1" si="21"/>
        <v>#NAME?</v>
      </c>
      <c r="E174" t="e">
        <f t="shared" ca="1" si="22"/>
        <v>#NAME?</v>
      </c>
      <c r="F174" s="41" t="s">
        <v>740</v>
      </c>
      <c r="G174" s="41">
        <f t="shared" ca="1" si="23"/>
        <v>45</v>
      </c>
      <c r="H174" s="41">
        <f t="shared" ca="1" si="24"/>
        <v>97</v>
      </c>
      <c r="I174" s="41">
        <f t="shared" ca="1" si="26"/>
        <v>97</v>
      </c>
      <c r="J174" s="41" t="e">
        <f ca="1">IF(H174=0,0,TableSearch(H174,arrayspace,$J$8,$J$7))</f>
        <v>#NAME?</v>
      </c>
      <c r="K174" s="41" t="e">
        <f t="shared" ca="1" si="25"/>
        <v>#NAME?</v>
      </c>
    </row>
    <row r="175" spans="1:11" x14ac:dyDescent="0.25">
      <c r="A175" t="e">
        <f t="shared" ca="1" si="18"/>
        <v>#NAME?</v>
      </c>
      <c r="B175" t="e">
        <f t="shared" ca="1" si="19"/>
        <v>#NAME?</v>
      </c>
      <c r="C175" t="e">
        <f t="shared" ca="1" si="20"/>
        <v>#NAME?</v>
      </c>
      <c r="D175" t="e">
        <f t="shared" ca="1" si="21"/>
        <v>#NAME?</v>
      </c>
      <c r="E175" t="e">
        <f t="shared" ca="1" si="22"/>
        <v>#NAME?</v>
      </c>
      <c r="F175" s="41" t="s">
        <v>741</v>
      </c>
      <c r="G175" s="41">
        <f t="shared" ca="1" si="23"/>
        <v>123</v>
      </c>
      <c r="H175" s="41">
        <f t="shared" ca="1" si="24"/>
        <v>96</v>
      </c>
      <c r="I175" s="41">
        <f t="shared" ca="1" si="26"/>
        <v>96</v>
      </c>
      <c r="J175" s="41" t="e">
        <f ca="1">IF(H175=0,0,TableSearch(H175,arrayspace,$J$8,$J$7))</f>
        <v>#NAME?</v>
      </c>
      <c r="K175" s="41" t="e">
        <f t="shared" ca="1" si="25"/>
        <v>#NAME?</v>
      </c>
    </row>
    <row r="176" spans="1:11" x14ac:dyDescent="0.25">
      <c r="A176" t="e">
        <f t="shared" ca="1" si="18"/>
        <v>#NAME?</v>
      </c>
      <c r="B176" t="e">
        <f t="shared" ca="1" si="19"/>
        <v>#NAME?</v>
      </c>
      <c r="C176" t="e">
        <f t="shared" ca="1" si="20"/>
        <v>#NAME?</v>
      </c>
      <c r="D176" t="e">
        <f t="shared" ca="1" si="21"/>
        <v>#NAME?</v>
      </c>
      <c r="E176" t="e">
        <f t="shared" ca="1" si="22"/>
        <v>#NAME?</v>
      </c>
      <c r="F176" s="41" t="s">
        <v>742</v>
      </c>
      <c r="G176" s="41">
        <f t="shared" ca="1" si="23"/>
        <v>105</v>
      </c>
      <c r="H176" s="41">
        <f t="shared" ca="1" si="24"/>
        <v>95</v>
      </c>
      <c r="I176" s="41">
        <f t="shared" ca="1" si="26"/>
        <v>95</v>
      </c>
      <c r="J176" s="41" t="e">
        <f ca="1">IF(H176=0,0,TableSearch(H176,arrayspace,$J$8,$J$7))</f>
        <v>#NAME?</v>
      </c>
      <c r="K176" s="41" t="e">
        <f t="shared" ca="1" si="25"/>
        <v>#NAME?</v>
      </c>
    </row>
    <row r="177" spans="1:11" x14ac:dyDescent="0.25">
      <c r="A177" t="e">
        <f t="shared" ca="1" si="18"/>
        <v>#NAME?</v>
      </c>
      <c r="B177" t="e">
        <f t="shared" ca="1" si="19"/>
        <v>#NAME?</v>
      </c>
      <c r="C177" t="e">
        <f t="shared" ca="1" si="20"/>
        <v>#NAME?</v>
      </c>
      <c r="D177" t="e">
        <f t="shared" ca="1" si="21"/>
        <v>#NAME?</v>
      </c>
      <c r="E177" t="e">
        <f t="shared" ca="1" si="22"/>
        <v>#NAME?</v>
      </c>
      <c r="F177" s="41" t="s">
        <v>743</v>
      </c>
      <c r="G177" s="41">
        <f t="shared" ca="1" si="23"/>
        <v>87</v>
      </c>
      <c r="H177" s="41">
        <f t="shared" ca="1" si="24"/>
        <v>94</v>
      </c>
      <c r="I177" s="41">
        <f t="shared" ca="1" si="26"/>
        <v>94</v>
      </c>
      <c r="J177" s="41" t="e">
        <f ca="1">IF(H177=0,0,TableSearch(H177,arrayspace,$J$8,$J$7))</f>
        <v>#NAME?</v>
      </c>
      <c r="K177" s="41" t="e">
        <f t="shared" ca="1" si="25"/>
        <v>#NAME?</v>
      </c>
    </row>
    <row r="178" spans="1:11" x14ac:dyDescent="0.25">
      <c r="A178" t="e">
        <f t="shared" ca="1" si="18"/>
        <v>#NAME?</v>
      </c>
      <c r="B178" t="e">
        <f t="shared" ca="1" si="19"/>
        <v>#NAME?</v>
      </c>
      <c r="C178" t="e">
        <f t="shared" ca="1" si="20"/>
        <v>#NAME?</v>
      </c>
      <c r="D178" t="e">
        <f t="shared" ca="1" si="21"/>
        <v>#NAME?</v>
      </c>
      <c r="E178" t="e">
        <f t="shared" ca="1" si="22"/>
        <v>#NAME?</v>
      </c>
      <c r="F178" s="41" t="s">
        <v>744</v>
      </c>
      <c r="G178" s="41">
        <f t="shared" ca="1" si="23"/>
        <v>122</v>
      </c>
      <c r="H178" s="41">
        <f t="shared" ca="1" si="24"/>
        <v>93</v>
      </c>
      <c r="I178" s="41">
        <f t="shared" ca="1" si="26"/>
        <v>93</v>
      </c>
      <c r="J178" s="41" t="e">
        <f ca="1">IF(H178=0,0,TableSearch(H178,arrayspace,$J$8,$J$7))</f>
        <v>#NAME?</v>
      </c>
      <c r="K178" s="41" t="e">
        <f t="shared" ca="1" si="25"/>
        <v>#NAME?</v>
      </c>
    </row>
    <row r="179" spans="1:11" x14ac:dyDescent="0.25">
      <c r="A179" t="e">
        <f t="shared" ca="1" si="18"/>
        <v>#NAME?</v>
      </c>
      <c r="B179" t="e">
        <f t="shared" ca="1" si="19"/>
        <v>#NAME?</v>
      </c>
      <c r="C179" t="e">
        <f t="shared" ca="1" si="20"/>
        <v>#NAME?</v>
      </c>
      <c r="D179" t="e">
        <f t="shared" ca="1" si="21"/>
        <v>#NAME?</v>
      </c>
      <c r="E179" t="e">
        <f t="shared" ca="1" si="22"/>
        <v>#NAME?</v>
      </c>
      <c r="F179" s="41" t="s">
        <v>745</v>
      </c>
      <c r="G179" s="41">
        <f t="shared" ca="1" si="23"/>
        <v>104</v>
      </c>
      <c r="H179" s="41">
        <f t="shared" ca="1" si="24"/>
        <v>92</v>
      </c>
      <c r="I179" s="41">
        <f t="shared" ca="1" si="26"/>
        <v>92</v>
      </c>
      <c r="J179" s="41" t="e">
        <f ca="1">IF(H179=0,0,TableSearch(H179,arrayspace,$J$8,$J$7))</f>
        <v>#NAME?</v>
      </c>
      <c r="K179" s="41" t="e">
        <f t="shared" ca="1" si="25"/>
        <v>#NAME?</v>
      </c>
    </row>
    <row r="180" spans="1:11" x14ac:dyDescent="0.25">
      <c r="A180" t="e">
        <f t="shared" ca="1" si="18"/>
        <v>#NAME?</v>
      </c>
      <c r="B180" t="e">
        <f t="shared" ca="1" si="19"/>
        <v>#NAME?</v>
      </c>
      <c r="C180" t="e">
        <f t="shared" ca="1" si="20"/>
        <v>#NAME?</v>
      </c>
      <c r="D180" t="e">
        <f t="shared" ca="1" si="21"/>
        <v>#NAME?</v>
      </c>
      <c r="E180" t="e">
        <f t="shared" ca="1" si="22"/>
        <v>#NAME?</v>
      </c>
      <c r="F180" s="41" t="s">
        <v>746</v>
      </c>
      <c r="G180" s="41">
        <f t="shared" ca="1" si="23"/>
        <v>86</v>
      </c>
      <c r="H180" s="41">
        <f t="shared" ca="1" si="24"/>
        <v>91</v>
      </c>
      <c r="I180" s="41">
        <f t="shared" ca="1" si="26"/>
        <v>91</v>
      </c>
      <c r="J180" s="41" t="e">
        <f ca="1">IF(H180=0,0,TableSearch(H180,arrayspace,$J$8,$J$7))</f>
        <v>#NAME?</v>
      </c>
      <c r="K180" s="41" t="e">
        <f t="shared" ca="1" si="25"/>
        <v>#NAME?</v>
      </c>
    </row>
    <row r="181" spans="1:11" x14ac:dyDescent="0.25">
      <c r="A181" t="e">
        <f t="shared" ca="1" si="18"/>
        <v>#NAME?</v>
      </c>
      <c r="B181" t="e">
        <f t="shared" ca="1" si="19"/>
        <v>#NAME?</v>
      </c>
      <c r="C181" t="e">
        <f t="shared" ca="1" si="20"/>
        <v>#NAME?</v>
      </c>
      <c r="D181" t="e">
        <f t="shared" ca="1" si="21"/>
        <v>#NAME?</v>
      </c>
      <c r="E181" t="e">
        <f t="shared" ca="1" si="22"/>
        <v>#NAME?</v>
      </c>
      <c r="F181" s="41" t="s">
        <v>747</v>
      </c>
      <c r="G181" s="41">
        <f t="shared" ca="1" si="23"/>
        <v>121</v>
      </c>
      <c r="H181" s="41">
        <f t="shared" ca="1" si="24"/>
        <v>90</v>
      </c>
      <c r="I181" s="41">
        <f t="shared" ca="1" si="26"/>
        <v>90</v>
      </c>
      <c r="J181" s="41" t="e">
        <f ca="1">IF(H181=0,0,TableSearch(H181,arrayspace,$J$8,$J$7))</f>
        <v>#NAME?</v>
      </c>
      <c r="K181" s="41" t="e">
        <f t="shared" ca="1" si="25"/>
        <v>#NAME?</v>
      </c>
    </row>
    <row r="182" spans="1:11" x14ac:dyDescent="0.25">
      <c r="A182" t="e">
        <f t="shared" ca="1" si="18"/>
        <v>#NAME?</v>
      </c>
      <c r="B182" t="e">
        <f t="shared" ca="1" si="19"/>
        <v>#NAME?</v>
      </c>
      <c r="C182" t="e">
        <f t="shared" ca="1" si="20"/>
        <v>#NAME?</v>
      </c>
      <c r="D182" t="e">
        <f t="shared" ca="1" si="21"/>
        <v>#NAME?</v>
      </c>
      <c r="E182" t="e">
        <f t="shared" ca="1" si="22"/>
        <v>#NAME?</v>
      </c>
      <c r="F182" s="41" t="s">
        <v>748</v>
      </c>
      <c r="G182" s="41">
        <f t="shared" ca="1" si="23"/>
        <v>103</v>
      </c>
      <c r="H182" s="41">
        <f t="shared" ca="1" si="24"/>
        <v>89</v>
      </c>
      <c r="I182" s="41">
        <f t="shared" ca="1" si="26"/>
        <v>89</v>
      </c>
      <c r="J182" s="41" t="e">
        <f ca="1">IF(H182=0,0,TableSearch(H182,arrayspace,$J$8,$J$7))</f>
        <v>#NAME?</v>
      </c>
      <c r="K182" s="41" t="e">
        <f t="shared" ca="1" si="25"/>
        <v>#NAME?</v>
      </c>
    </row>
    <row r="183" spans="1:11" x14ac:dyDescent="0.25">
      <c r="A183" t="e">
        <f t="shared" ca="1" si="18"/>
        <v>#NAME?</v>
      </c>
      <c r="B183" t="e">
        <f t="shared" ca="1" si="19"/>
        <v>#NAME?</v>
      </c>
      <c r="C183" t="e">
        <f t="shared" ca="1" si="20"/>
        <v>#NAME?</v>
      </c>
      <c r="D183" t="e">
        <f t="shared" ca="1" si="21"/>
        <v>#NAME?</v>
      </c>
      <c r="E183" t="e">
        <f t="shared" ca="1" si="22"/>
        <v>#NAME?</v>
      </c>
      <c r="F183" s="41" t="s">
        <v>749</v>
      </c>
      <c r="G183" s="41">
        <f t="shared" ca="1" si="23"/>
        <v>85</v>
      </c>
      <c r="H183" s="41">
        <f t="shared" ca="1" si="24"/>
        <v>88</v>
      </c>
      <c r="I183" s="41">
        <f t="shared" ca="1" si="26"/>
        <v>88</v>
      </c>
      <c r="J183" s="41" t="e">
        <f ca="1">IF(H183=0,0,TableSearch(H183,arrayspace,$J$8,$J$7))</f>
        <v>#NAME?</v>
      </c>
      <c r="K183" s="41" t="e">
        <f t="shared" ca="1" si="25"/>
        <v>#NAME?</v>
      </c>
    </row>
    <row r="184" spans="1:11" x14ac:dyDescent="0.25">
      <c r="A184" t="e">
        <f t="shared" ca="1" si="18"/>
        <v>#NAME?</v>
      </c>
      <c r="B184" t="e">
        <f t="shared" ca="1" si="19"/>
        <v>#NAME?</v>
      </c>
      <c r="C184" t="e">
        <f t="shared" ca="1" si="20"/>
        <v>#NAME?</v>
      </c>
      <c r="D184" t="e">
        <f t="shared" ca="1" si="21"/>
        <v>#NAME?</v>
      </c>
      <c r="E184" t="e">
        <f t="shared" ca="1" si="22"/>
        <v>#NAME?</v>
      </c>
      <c r="F184" s="41" t="s">
        <v>750</v>
      </c>
      <c r="G184" s="41">
        <f t="shared" ca="1" si="23"/>
        <v>67</v>
      </c>
      <c r="H184" s="41">
        <f t="shared" ca="1" si="24"/>
        <v>87</v>
      </c>
      <c r="I184" s="41">
        <f t="shared" ca="1" si="26"/>
        <v>87</v>
      </c>
      <c r="J184" s="41" t="e">
        <f ca="1">IF(H184=0,0,TableSearch(H184,arrayspace,$J$8,$J$7))</f>
        <v>#NAME?</v>
      </c>
      <c r="K184" s="41" t="e">
        <f t="shared" ca="1" si="25"/>
        <v>#NAME?</v>
      </c>
    </row>
    <row r="185" spans="1:11" x14ac:dyDescent="0.25">
      <c r="A185" t="e">
        <f t="shared" ca="1" si="18"/>
        <v>#NAME?</v>
      </c>
      <c r="B185" t="e">
        <f t="shared" ca="1" si="19"/>
        <v>#NAME?</v>
      </c>
      <c r="C185" t="e">
        <f t="shared" ca="1" si="20"/>
        <v>#NAME?</v>
      </c>
      <c r="D185" t="e">
        <f t="shared" ca="1" si="21"/>
        <v>#NAME?</v>
      </c>
      <c r="E185" t="e">
        <f t="shared" ca="1" si="22"/>
        <v>#NAME?</v>
      </c>
      <c r="F185" s="41" t="s">
        <v>751</v>
      </c>
      <c r="G185" s="41">
        <f t="shared" ca="1" si="23"/>
        <v>120</v>
      </c>
      <c r="H185" s="41">
        <f t="shared" ca="1" si="24"/>
        <v>86</v>
      </c>
      <c r="I185" s="41">
        <f t="shared" ca="1" si="26"/>
        <v>86</v>
      </c>
      <c r="J185" s="41" t="e">
        <f ca="1">IF(H185=0,0,TableSearch(H185,arrayspace,$J$8,$J$7))</f>
        <v>#NAME?</v>
      </c>
      <c r="K185" s="41" t="e">
        <f t="shared" ca="1" si="25"/>
        <v>#NAME?</v>
      </c>
    </row>
    <row r="186" spans="1:11" x14ac:dyDescent="0.25">
      <c r="A186" t="e">
        <f t="shared" ca="1" si="18"/>
        <v>#NAME?</v>
      </c>
      <c r="B186" t="e">
        <f t="shared" ca="1" si="19"/>
        <v>#NAME?</v>
      </c>
      <c r="C186" t="e">
        <f t="shared" ca="1" si="20"/>
        <v>#NAME?</v>
      </c>
      <c r="D186" t="e">
        <f t="shared" ca="1" si="21"/>
        <v>#NAME?</v>
      </c>
      <c r="E186" t="e">
        <f t="shared" ca="1" si="22"/>
        <v>#NAME?</v>
      </c>
      <c r="F186" s="41" t="s">
        <v>752</v>
      </c>
      <c r="G186" s="41">
        <f t="shared" ca="1" si="23"/>
        <v>102</v>
      </c>
      <c r="H186" s="41">
        <f t="shared" ca="1" si="24"/>
        <v>85</v>
      </c>
      <c r="I186" s="41">
        <f t="shared" ca="1" si="26"/>
        <v>85</v>
      </c>
      <c r="J186" s="41" t="e">
        <f ca="1">IF(H186=0,0,TableSearch(H186,arrayspace,$J$8,$J$7))</f>
        <v>#NAME?</v>
      </c>
      <c r="K186" s="41" t="e">
        <f t="shared" ca="1" si="25"/>
        <v>#NAME?</v>
      </c>
    </row>
    <row r="187" spans="1:11" x14ac:dyDescent="0.25">
      <c r="A187" t="e">
        <f t="shared" ca="1" si="18"/>
        <v>#NAME?</v>
      </c>
      <c r="B187" t="e">
        <f t="shared" ca="1" si="19"/>
        <v>#NAME?</v>
      </c>
      <c r="C187" t="e">
        <f t="shared" ca="1" si="20"/>
        <v>#NAME?</v>
      </c>
      <c r="D187" t="e">
        <f t="shared" ca="1" si="21"/>
        <v>#NAME?</v>
      </c>
      <c r="E187" t="e">
        <f t="shared" ca="1" si="22"/>
        <v>#NAME?</v>
      </c>
      <c r="F187" s="41" t="s">
        <v>753</v>
      </c>
      <c r="G187" s="41">
        <f t="shared" ca="1" si="23"/>
        <v>84</v>
      </c>
      <c r="H187" s="41">
        <f t="shared" ca="1" si="24"/>
        <v>84</v>
      </c>
      <c r="I187" s="41">
        <f t="shared" ca="1" si="26"/>
        <v>84</v>
      </c>
      <c r="J187" s="41" t="e">
        <f ca="1">IF(H187=0,0,TableSearch(H187,arrayspace,$J$8,$J$7))</f>
        <v>#NAME?</v>
      </c>
      <c r="K187" s="41" t="e">
        <f t="shared" ca="1" si="25"/>
        <v>#NAME?</v>
      </c>
    </row>
    <row r="188" spans="1:11" x14ac:dyDescent="0.25">
      <c r="A188" t="e">
        <f t="shared" ca="1" si="18"/>
        <v>#NAME?</v>
      </c>
      <c r="B188" t="e">
        <f t="shared" ca="1" si="19"/>
        <v>#NAME?</v>
      </c>
      <c r="C188" t="e">
        <f t="shared" ca="1" si="20"/>
        <v>#NAME?</v>
      </c>
      <c r="D188" t="e">
        <f t="shared" ca="1" si="21"/>
        <v>#NAME?</v>
      </c>
      <c r="E188" t="e">
        <f t="shared" ca="1" si="22"/>
        <v>#NAME?</v>
      </c>
      <c r="F188" s="41" t="s">
        <v>754</v>
      </c>
      <c r="G188" s="41">
        <f t="shared" ca="1" si="23"/>
        <v>66</v>
      </c>
      <c r="H188" s="41">
        <f t="shared" ca="1" si="24"/>
        <v>83</v>
      </c>
      <c r="I188" s="41">
        <f t="shared" ca="1" si="26"/>
        <v>83</v>
      </c>
      <c r="J188" s="41" t="e">
        <f ca="1">IF(H188=0,0,TableSearch(H188,arrayspace,$J$8,$J$7))</f>
        <v>#NAME?</v>
      </c>
      <c r="K188" s="41" t="e">
        <f t="shared" ca="1" si="25"/>
        <v>#NAME?</v>
      </c>
    </row>
    <row r="189" spans="1:11" x14ac:dyDescent="0.25">
      <c r="A189" t="e">
        <f t="shared" ca="1" si="18"/>
        <v>#NAME?</v>
      </c>
      <c r="B189" t="e">
        <f t="shared" ca="1" si="19"/>
        <v>#NAME?</v>
      </c>
      <c r="C189" t="e">
        <f t="shared" ca="1" si="20"/>
        <v>#NAME?</v>
      </c>
      <c r="D189" t="e">
        <f t="shared" ca="1" si="21"/>
        <v>#NAME?</v>
      </c>
      <c r="E189" t="e">
        <f t="shared" ca="1" si="22"/>
        <v>#NAME?</v>
      </c>
      <c r="F189" s="41" t="s">
        <v>755</v>
      </c>
      <c r="G189" s="41">
        <f t="shared" ca="1" si="23"/>
        <v>119</v>
      </c>
      <c r="H189" s="41">
        <f t="shared" ca="1" si="24"/>
        <v>82</v>
      </c>
      <c r="I189" s="41">
        <f t="shared" ca="1" si="26"/>
        <v>82</v>
      </c>
      <c r="J189" s="41" t="e">
        <f ca="1">IF(H189=0,0,TableSearch(H189,arrayspace,$J$8,$J$7))</f>
        <v>#NAME?</v>
      </c>
      <c r="K189" s="41" t="e">
        <f t="shared" ca="1" si="25"/>
        <v>#NAME?</v>
      </c>
    </row>
    <row r="190" spans="1:11" x14ac:dyDescent="0.25">
      <c r="A190" t="e">
        <f t="shared" ca="1" si="18"/>
        <v>#NAME?</v>
      </c>
      <c r="B190" t="e">
        <f t="shared" ca="1" si="19"/>
        <v>#NAME?</v>
      </c>
      <c r="C190" t="e">
        <f t="shared" ca="1" si="20"/>
        <v>#NAME?</v>
      </c>
      <c r="D190" t="e">
        <f t="shared" ca="1" si="21"/>
        <v>#NAME?</v>
      </c>
      <c r="E190" t="e">
        <f t="shared" ca="1" si="22"/>
        <v>#NAME?</v>
      </c>
      <c r="F190" s="41" t="s">
        <v>756</v>
      </c>
      <c r="G190" s="41">
        <f t="shared" ca="1" si="23"/>
        <v>101</v>
      </c>
      <c r="H190" s="41">
        <f t="shared" ca="1" si="24"/>
        <v>81</v>
      </c>
      <c r="I190" s="41">
        <f t="shared" ca="1" si="26"/>
        <v>81</v>
      </c>
      <c r="J190" s="41" t="e">
        <f ca="1">IF(H190=0,0,TableSearch(H190,arrayspace,$J$8,$J$7))</f>
        <v>#NAME?</v>
      </c>
      <c r="K190" s="41" t="e">
        <f t="shared" ca="1" si="25"/>
        <v>#NAME?</v>
      </c>
    </row>
    <row r="191" spans="1:11" x14ac:dyDescent="0.25">
      <c r="A191" t="e">
        <f t="shared" ca="1" si="18"/>
        <v>#NAME?</v>
      </c>
      <c r="B191" t="e">
        <f t="shared" ca="1" si="19"/>
        <v>#NAME?</v>
      </c>
      <c r="C191" t="e">
        <f t="shared" ca="1" si="20"/>
        <v>#NAME?</v>
      </c>
      <c r="D191" t="e">
        <f t="shared" ca="1" si="21"/>
        <v>#NAME?</v>
      </c>
      <c r="E191" t="e">
        <f t="shared" ca="1" si="22"/>
        <v>#NAME?</v>
      </c>
      <c r="F191" s="41" t="s">
        <v>757</v>
      </c>
      <c r="G191" s="41">
        <f t="shared" ca="1" si="23"/>
        <v>83</v>
      </c>
      <c r="H191" s="41">
        <f t="shared" ca="1" si="24"/>
        <v>80</v>
      </c>
      <c r="I191" s="41">
        <f t="shared" ca="1" si="26"/>
        <v>80</v>
      </c>
      <c r="J191" s="41" t="e">
        <f ca="1">IF(H191=0,0,TableSearch(H191,arrayspace,$J$8,$J$7))</f>
        <v>#NAME?</v>
      </c>
      <c r="K191" s="41" t="e">
        <f t="shared" ca="1" si="25"/>
        <v>#NAME?</v>
      </c>
    </row>
    <row r="192" spans="1:11" x14ac:dyDescent="0.25">
      <c r="A192" t="e">
        <f t="shared" ca="1" si="18"/>
        <v>#NAME?</v>
      </c>
      <c r="B192" t="e">
        <f t="shared" ca="1" si="19"/>
        <v>#NAME?</v>
      </c>
      <c r="C192" t="e">
        <f t="shared" ca="1" si="20"/>
        <v>#NAME?</v>
      </c>
      <c r="D192" t="e">
        <f t="shared" ca="1" si="21"/>
        <v>#NAME?</v>
      </c>
      <c r="E192" t="e">
        <f t="shared" ca="1" si="22"/>
        <v>#NAME?</v>
      </c>
      <c r="F192" s="41" t="s">
        <v>758</v>
      </c>
      <c r="G192" s="41">
        <f t="shared" ca="1" si="23"/>
        <v>65</v>
      </c>
      <c r="H192" s="41">
        <f t="shared" ca="1" si="24"/>
        <v>79</v>
      </c>
      <c r="I192" s="41">
        <f t="shared" ca="1" si="26"/>
        <v>79</v>
      </c>
      <c r="J192" s="41" t="e">
        <f ca="1">IF(H192=0,0,TableSearch(H192,arrayspace,$J$8,$J$7))</f>
        <v>#NAME?</v>
      </c>
      <c r="K192" s="41" t="e">
        <f t="shared" ca="1" si="25"/>
        <v>#NAME?</v>
      </c>
    </row>
    <row r="193" spans="1:11" x14ac:dyDescent="0.25">
      <c r="A193" t="e">
        <f t="shared" ca="1" si="18"/>
        <v>#NAME?</v>
      </c>
      <c r="B193" t="e">
        <f t="shared" ca="1" si="19"/>
        <v>#NAME?</v>
      </c>
      <c r="C193" t="e">
        <f t="shared" ca="1" si="20"/>
        <v>#NAME?</v>
      </c>
      <c r="D193" t="e">
        <f t="shared" ca="1" si="21"/>
        <v>#NAME?</v>
      </c>
      <c r="E193" t="e">
        <f t="shared" ca="1" si="22"/>
        <v>#NAME?</v>
      </c>
      <c r="F193" s="41" t="s">
        <v>759</v>
      </c>
      <c r="G193" s="41">
        <f t="shared" ca="1" si="23"/>
        <v>118</v>
      </c>
      <c r="H193" s="41">
        <f t="shared" ca="1" si="24"/>
        <v>78</v>
      </c>
      <c r="I193" s="41">
        <f t="shared" ca="1" si="26"/>
        <v>78</v>
      </c>
      <c r="J193" s="41" t="e">
        <f ca="1">IF(H193=0,0,TableSearch(H193,arrayspace,$J$8,$J$7))</f>
        <v>#NAME?</v>
      </c>
      <c r="K193" s="41" t="e">
        <f t="shared" ca="1" si="25"/>
        <v>#NAME?</v>
      </c>
    </row>
    <row r="194" spans="1:11" x14ac:dyDescent="0.25">
      <c r="A194" t="e">
        <f t="shared" ca="1" si="18"/>
        <v>#NAME?</v>
      </c>
      <c r="B194" t="e">
        <f t="shared" ca="1" si="19"/>
        <v>#NAME?</v>
      </c>
      <c r="C194" t="e">
        <f t="shared" ca="1" si="20"/>
        <v>#NAME?</v>
      </c>
      <c r="D194" t="e">
        <f t="shared" ca="1" si="21"/>
        <v>#NAME?</v>
      </c>
      <c r="E194" t="e">
        <f t="shared" ca="1" si="22"/>
        <v>#NAME?</v>
      </c>
      <c r="F194" s="41" t="s">
        <v>760</v>
      </c>
      <c r="G194" s="41">
        <f t="shared" ca="1" si="23"/>
        <v>100</v>
      </c>
      <c r="H194" s="41">
        <f t="shared" ca="1" si="24"/>
        <v>77</v>
      </c>
      <c r="I194" s="41">
        <f t="shared" ca="1" si="26"/>
        <v>77</v>
      </c>
      <c r="J194" s="41" t="e">
        <f ca="1">IF(H194=0,0,TableSearch(H194,arrayspace,$J$8,$J$7))</f>
        <v>#NAME?</v>
      </c>
      <c r="K194" s="41" t="e">
        <f t="shared" ca="1" si="25"/>
        <v>#NAME?</v>
      </c>
    </row>
    <row r="195" spans="1:11" x14ac:dyDescent="0.25">
      <c r="A195" t="e">
        <f t="shared" ca="1" si="18"/>
        <v>#NAME?</v>
      </c>
      <c r="B195" t="e">
        <f t="shared" ca="1" si="19"/>
        <v>#NAME?</v>
      </c>
      <c r="C195" t="e">
        <f t="shared" ca="1" si="20"/>
        <v>#NAME?</v>
      </c>
      <c r="D195" t="e">
        <f t="shared" ca="1" si="21"/>
        <v>#NAME?</v>
      </c>
      <c r="E195" t="e">
        <f t="shared" ca="1" si="22"/>
        <v>#NAME?</v>
      </c>
      <c r="F195" s="41" t="s">
        <v>761</v>
      </c>
      <c r="G195" s="41">
        <f t="shared" ca="1" si="23"/>
        <v>82</v>
      </c>
      <c r="H195" s="41">
        <f t="shared" ca="1" si="24"/>
        <v>76</v>
      </c>
      <c r="I195" s="41">
        <f t="shared" ca="1" si="26"/>
        <v>76</v>
      </c>
      <c r="J195" s="41" t="e">
        <f ca="1">IF(H195=0,0,TableSearch(H195,arrayspace,$J$8,$J$7))</f>
        <v>#NAME?</v>
      </c>
      <c r="K195" s="41" t="e">
        <f t="shared" ca="1" si="25"/>
        <v>#NAME?</v>
      </c>
    </row>
    <row r="196" spans="1:11" x14ac:dyDescent="0.25">
      <c r="A196" t="e">
        <f t="shared" ca="1" si="18"/>
        <v>#NAME?</v>
      </c>
      <c r="B196" t="e">
        <f t="shared" ca="1" si="19"/>
        <v>#NAME?</v>
      </c>
      <c r="C196" t="e">
        <f t="shared" ca="1" si="20"/>
        <v>#NAME?</v>
      </c>
      <c r="D196" t="e">
        <f t="shared" ca="1" si="21"/>
        <v>#NAME?</v>
      </c>
      <c r="E196" t="e">
        <f t="shared" ca="1" si="22"/>
        <v>#NAME?</v>
      </c>
      <c r="F196" s="41" t="s">
        <v>762</v>
      </c>
      <c r="G196" s="41">
        <f t="shared" ca="1" si="23"/>
        <v>64</v>
      </c>
      <c r="H196" s="41">
        <f t="shared" ca="1" si="24"/>
        <v>75</v>
      </c>
      <c r="I196" s="41">
        <f t="shared" ca="1" si="26"/>
        <v>75</v>
      </c>
      <c r="J196" s="41" t="e">
        <f ca="1">IF(H196=0,0,TableSearch(H196,arrayspace,$J$8,$J$7))</f>
        <v>#NAME?</v>
      </c>
      <c r="K196" s="41" t="e">
        <f t="shared" ca="1" si="25"/>
        <v>#NAME?</v>
      </c>
    </row>
    <row r="197" spans="1:11" x14ac:dyDescent="0.25">
      <c r="A197" t="e">
        <f t="shared" ca="1" si="18"/>
        <v>#NAME?</v>
      </c>
      <c r="B197" t="e">
        <f t="shared" ca="1" si="19"/>
        <v>#NAME?</v>
      </c>
      <c r="C197" t="e">
        <f t="shared" ca="1" si="20"/>
        <v>#NAME?</v>
      </c>
      <c r="D197" t="e">
        <f t="shared" ca="1" si="21"/>
        <v>#NAME?</v>
      </c>
      <c r="E197" t="e">
        <f t="shared" ca="1" si="22"/>
        <v>#NAME?</v>
      </c>
      <c r="F197" s="41" t="s">
        <v>763</v>
      </c>
      <c r="G197" s="41">
        <f t="shared" ca="1" si="23"/>
        <v>117</v>
      </c>
      <c r="H197" s="41">
        <f t="shared" ca="1" si="24"/>
        <v>74</v>
      </c>
      <c r="I197" s="41">
        <f t="shared" ca="1" si="26"/>
        <v>74</v>
      </c>
      <c r="J197" s="41" t="e">
        <f ca="1">IF(H197=0,0,TableSearch(H197,arrayspace,$J$8,$J$7))</f>
        <v>#NAME?</v>
      </c>
      <c r="K197" s="41" t="e">
        <f t="shared" ca="1" si="25"/>
        <v>#NAME?</v>
      </c>
    </row>
    <row r="198" spans="1:11" x14ac:dyDescent="0.25">
      <c r="A198" t="e">
        <f t="shared" ca="1" si="18"/>
        <v>#NAME?</v>
      </c>
      <c r="B198" t="e">
        <f t="shared" ca="1" si="19"/>
        <v>#NAME?</v>
      </c>
      <c r="C198" t="e">
        <f t="shared" ca="1" si="20"/>
        <v>#NAME?</v>
      </c>
      <c r="D198" t="e">
        <f t="shared" ca="1" si="21"/>
        <v>#NAME?</v>
      </c>
      <c r="E198" t="e">
        <f t="shared" ca="1" si="22"/>
        <v>#NAME?</v>
      </c>
      <c r="F198" s="41" t="s">
        <v>764</v>
      </c>
      <c r="G198" s="41">
        <f t="shared" ca="1" si="23"/>
        <v>99</v>
      </c>
      <c r="H198" s="41">
        <f t="shared" ca="1" si="24"/>
        <v>73</v>
      </c>
      <c r="I198" s="41">
        <f t="shared" ca="1" si="26"/>
        <v>73</v>
      </c>
      <c r="J198" s="41" t="e">
        <f ca="1">IF(H198=0,0,TableSearch(H198,arrayspace,$J$8,$J$7))</f>
        <v>#NAME?</v>
      </c>
      <c r="K198" s="41" t="e">
        <f t="shared" ca="1" si="25"/>
        <v>#NAME?</v>
      </c>
    </row>
    <row r="199" spans="1:11" x14ac:dyDescent="0.25">
      <c r="A199" t="e">
        <f t="shared" ca="1" si="18"/>
        <v>#NAME?</v>
      </c>
      <c r="B199" t="e">
        <f t="shared" ca="1" si="19"/>
        <v>#NAME?</v>
      </c>
      <c r="C199" t="e">
        <f t="shared" ca="1" si="20"/>
        <v>#NAME?</v>
      </c>
      <c r="D199" t="e">
        <f t="shared" ca="1" si="21"/>
        <v>#NAME?</v>
      </c>
      <c r="E199" t="e">
        <f t="shared" ca="1" si="22"/>
        <v>#NAME?</v>
      </c>
      <c r="F199" s="41" t="s">
        <v>765</v>
      </c>
      <c r="G199" s="41">
        <f t="shared" ca="1" si="23"/>
        <v>81</v>
      </c>
      <c r="H199" s="41">
        <f t="shared" ca="1" si="24"/>
        <v>72</v>
      </c>
      <c r="I199" s="41">
        <f t="shared" ca="1" si="26"/>
        <v>72</v>
      </c>
      <c r="J199" s="41" t="e">
        <f ca="1">IF(H199=0,0,TableSearch(H199,arrayspace,$J$8,$J$7))</f>
        <v>#NAME?</v>
      </c>
      <c r="K199" s="41" t="e">
        <f t="shared" ca="1" si="25"/>
        <v>#NAME?</v>
      </c>
    </row>
    <row r="200" spans="1:11" x14ac:dyDescent="0.25">
      <c r="A200" t="e">
        <f t="shared" ca="1" si="18"/>
        <v>#NAME?</v>
      </c>
      <c r="B200" t="e">
        <f t="shared" ca="1" si="19"/>
        <v>#NAME?</v>
      </c>
      <c r="C200" t="e">
        <f t="shared" ca="1" si="20"/>
        <v>#NAME?</v>
      </c>
      <c r="D200" t="e">
        <f t="shared" ca="1" si="21"/>
        <v>#NAME?</v>
      </c>
      <c r="E200" t="e">
        <f t="shared" ca="1" si="22"/>
        <v>#NAME?</v>
      </c>
      <c r="F200" s="41" t="s">
        <v>766</v>
      </c>
      <c r="G200" s="41">
        <f t="shared" ca="1" si="23"/>
        <v>63</v>
      </c>
      <c r="H200" s="41">
        <f t="shared" ca="1" si="24"/>
        <v>71</v>
      </c>
      <c r="I200" s="41">
        <f t="shared" ca="1" si="26"/>
        <v>71</v>
      </c>
      <c r="J200" s="41" t="e">
        <f ca="1">IF(H200=0,0,TableSearch(H200,arrayspace,$J$8,$J$7))</f>
        <v>#NAME?</v>
      </c>
      <c r="K200" s="41" t="e">
        <f t="shared" ca="1" si="25"/>
        <v>#NAME?</v>
      </c>
    </row>
    <row r="201" spans="1:11" x14ac:dyDescent="0.25">
      <c r="A201" t="e">
        <f t="shared" ca="1" si="18"/>
        <v>#NAME?</v>
      </c>
      <c r="B201" t="e">
        <f t="shared" ca="1" si="19"/>
        <v>#NAME?</v>
      </c>
      <c r="C201" t="e">
        <f t="shared" ca="1" si="20"/>
        <v>#NAME?</v>
      </c>
      <c r="D201" t="e">
        <f t="shared" ca="1" si="21"/>
        <v>#NAME?</v>
      </c>
      <c r="E201" t="e">
        <f t="shared" ca="1" si="22"/>
        <v>#NAME?</v>
      </c>
      <c r="F201" s="41" t="s">
        <v>767</v>
      </c>
      <c r="G201" s="41">
        <f t="shared" ca="1" si="23"/>
        <v>98</v>
      </c>
      <c r="H201" s="41">
        <f t="shared" ca="1" si="24"/>
        <v>70</v>
      </c>
      <c r="I201" s="41">
        <f t="shared" ca="1" si="26"/>
        <v>70</v>
      </c>
      <c r="J201" s="41" t="e">
        <f ca="1">IF(H201=0,0,TableSearch(H201,arrayspace,$J$8,$J$7))</f>
        <v>#NAME?</v>
      </c>
      <c r="K201" s="41" t="e">
        <f t="shared" ca="1" si="25"/>
        <v>#NAME?</v>
      </c>
    </row>
    <row r="202" spans="1:11" x14ac:dyDescent="0.25">
      <c r="A202" t="e">
        <f t="shared" ca="1" si="18"/>
        <v>#NAME?</v>
      </c>
      <c r="B202" t="e">
        <f t="shared" ca="1" si="19"/>
        <v>#NAME?</v>
      </c>
      <c r="C202" t="e">
        <f t="shared" ca="1" si="20"/>
        <v>#NAME?</v>
      </c>
      <c r="D202" t="e">
        <f t="shared" ca="1" si="21"/>
        <v>#NAME?</v>
      </c>
      <c r="E202" t="e">
        <f t="shared" ca="1" si="22"/>
        <v>#NAME?</v>
      </c>
      <c r="F202" s="41" t="s">
        <v>768</v>
      </c>
      <c r="G202" s="41">
        <f t="shared" ca="1" si="23"/>
        <v>80</v>
      </c>
      <c r="H202" s="41">
        <f t="shared" ca="1" si="24"/>
        <v>69</v>
      </c>
      <c r="I202" s="41">
        <f t="shared" ca="1" si="26"/>
        <v>69</v>
      </c>
      <c r="J202" s="41" t="e">
        <f ca="1">IF(H202=0,0,TableSearch(H202,arrayspace,$J$8,$J$7))</f>
        <v>#NAME?</v>
      </c>
      <c r="K202" s="41" t="e">
        <f t="shared" ca="1" si="25"/>
        <v>#NAME?</v>
      </c>
    </row>
    <row r="203" spans="1:11" x14ac:dyDescent="0.25">
      <c r="A203" t="e">
        <f t="shared" ca="1" si="18"/>
        <v>#NAME?</v>
      </c>
      <c r="B203" t="e">
        <f t="shared" ca="1" si="19"/>
        <v>#NAME?</v>
      </c>
      <c r="C203" t="e">
        <f t="shared" ca="1" si="20"/>
        <v>#NAME?</v>
      </c>
      <c r="D203" t="e">
        <f t="shared" ca="1" si="21"/>
        <v>#NAME?</v>
      </c>
      <c r="E203" t="e">
        <f t="shared" ca="1" si="22"/>
        <v>#NAME?</v>
      </c>
      <c r="F203" s="41" t="s">
        <v>769</v>
      </c>
      <c r="G203" s="41">
        <f t="shared" ca="1" si="23"/>
        <v>62</v>
      </c>
      <c r="H203" s="41">
        <f t="shared" ca="1" si="24"/>
        <v>68</v>
      </c>
      <c r="I203" s="41">
        <f t="shared" ca="1" si="26"/>
        <v>68</v>
      </c>
      <c r="J203" s="41" t="e">
        <f ca="1">IF(H203=0,0,TableSearch(H203,arrayspace,$J$8,$J$7))</f>
        <v>#NAME?</v>
      </c>
      <c r="K203" s="41" t="e">
        <f t="shared" ca="1" si="25"/>
        <v>#NAME?</v>
      </c>
    </row>
    <row r="204" spans="1:11" x14ac:dyDescent="0.25">
      <c r="A204" t="e">
        <f t="shared" ca="1" si="18"/>
        <v>#NAME?</v>
      </c>
      <c r="B204" t="e">
        <f t="shared" ca="1" si="19"/>
        <v>#NAME?</v>
      </c>
      <c r="C204" t="e">
        <f t="shared" ca="1" si="20"/>
        <v>#NAME?</v>
      </c>
      <c r="D204" t="e">
        <f t="shared" ca="1" si="21"/>
        <v>#NAME?</v>
      </c>
      <c r="E204" t="e">
        <f t="shared" ca="1" si="22"/>
        <v>#NAME?</v>
      </c>
      <c r="F204" s="41" t="s">
        <v>770</v>
      </c>
      <c r="G204" s="41">
        <f t="shared" ca="1" si="23"/>
        <v>97</v>
      </c>
      <c r="H204" s="41">
        <f t="shared" ca="1" si="24"/>
        <v>67</v>
      </c>
      <c r="I204" s="41">
        <f t="shared" ca="1" si="26"/>
        <v>67</v>
      </c>
      <c r="J204" s="41" t="e">
        <f ca="1">IF(H204=0,0,TableSearch(H204,arrayspace,$J$8,$J$7))</f>
        <v>#NAME?</v>
      </c>
      <c r="K204" s="41" t="e">
        <f t="shared" ca="1" si="25"/>
        <v>#NAME?</v>
      </c>
    </row>
    <row r="205" spans="1:11" x14ac:dyDescent="0.25">
      <c r="A205" t="e">
        <f t="shared" ca="1" si="18"/>
        <v>#NAME?</v>
      </c>
      <c r="B205" t="e">
        <f t="shared" ca="1" si="19"/>
        <v>#NAME?</v>
      </c>
      <c r="C205" t="e">
        <f t="shared" ca="1" si="20"/>
        <v>#NAME?</v>
      </c>
      <c r="D205" t="e">
        <f t="shared" ca="1" si="21"/>
        <v>#NAME?</v>
      </c>
      <c r="E205" t="e">
        <f t="shared" ca="1" si="22"/>
        <v>#NAME?</v>
      </c>
      <c r="F205" s="41" t="s">
        <v>771</v>
      </c>
      <c r="G205" s="41">
        <f t="shared" ca="1" si="23"/>
        <v>79</v>
      </c>
      <c r="H205" s="41">
        <f t="shared" ca="1" si="24"/>
        <v>66</v>
      </c>
      <c r="I205" s="41">
        <f t="shared" ca="1" si="26"/>
        <v>66</v>
      </c>
      <c r="J205" s="41" t="e">
        <f ca="1">IF(H205=0,0,TableSearch(H205,arrayspace,$J$8,$J$7))</f>
        <v>#NAME?</v>
      </c>
      <c r="K205" s="41" t="e">
        <f t="shared" ca="1" si="25"/>
        <v>#NAME?</v>
      </c>
    </row>
    <row r="206" spans="1:11" x14ac:dyDescent="0.25">
      <c r="A206" t="e">
        <f t="shared" ca="1" si="18"/>
        <v>#NAME?</v>
      </c>
      <c r="B206" t="e">
        <f t="shared" ca="1" si="19"/>
        <v>#NAME?</v>
      </c>
      <c r="C206" t="e">
        <f t="shared" ca="1" si="20"/>
        <v>#NAME?</v>
      </c>
      <c r="D206" t="e">
        <f t="shared" ca="1" si="21"/>
        <v>#NAME?</v>
      </c>
      <c r="E206" t="e">
        <f t="shared" ca="1" si="22"/>
        <v>#NAME?</v>
      </c>
      <c r="F206" s="41" t="s">
        <v>772</v>
      </c>
      <c r="G206" s="41">
        <f t="shared" ca="1" si="23"/>
        <v>61</v>
      </c>
      <c r="H206" s="41">
        <f t="shared" ca="1" si="24"/>
        <v>65</v>
      </c>
      <c r="I206" s="41">
        <f t="shared" ca="1" si="26"/>
        <v>65</v>
      </c>
      <c r="J206" s="41" t="e">
        <f ca="1">IF(H206=0,0,TableSearch(H206,arrayspace,$J$8,$J$7))</f>
        <v>#NAME?</v>
      </c>
      <c r="K206" s="41" t="e">
        <f t="shared" ca="1" si="25"/>
        <v>#NAME?</v>
      </c>
    </row>
    <row r="207" spans="1:11" x14ac:dyDescent="0.25">
      <c r="A207" t="e">
        <f t="shared" ca="1" si="18"/>
        <v>#NAME?</v>
      </c>
      <c r="B207" t="e">
        <f t="shared" ca="1" si="19"/>
        <v>#NAME?</v>
      </c>
      <c r="C207" t="e">
        <f t="shared" ca="1" si="20"/>
        <v>#NAME?</v>
      </c>
      <c r="D207" t="e">
        <f t="shared" ca="1" si="21"/>
        <v>#NAME?</v>
      </c>
      <c r="E207" t="e">
        <f t="shared" ca="1" si="22"/>
        <v>#NAME?</v>
      </c>
      <c r="F207" s="41" t="s">
        <v>773</v>
      </c>
      <c r="G207" s="41">
        <f t="shared" ca="1" si="23"/>
        <v>141</v>
      </c>
      <c r="H207" s="41">
        <f t="shared" ca="1" si="24"/>
        <v>64</v>
      </c>
      <c r="I207" s="41">
        <f t="shared" ca="1" si="26"/>
        <v>64</v>
      </c>
      <c r="J207" s="41" t="e">
        <f ca="1">IF(H207=0,0,TableSearch(H207,arrayspace,$J$8,$J$7))</f>
        <v>#NAME?</v>
      </c>
      <c r="K207" s="41" t="e">
        <f t="shared" ca="1" si="25"/>
        <v>#NAME?</v>
      </c>
    </row>
    <row r="208" spans="1:11" x14ac:dyDescent="0.25">
      <c r="A208" t="e">
        <f t="shared" ref="A208:A270" ca="1" si="27">IF(H208=0,"",VALUE(LEFT(J208,FIND(",",J208)-1)))</f>
        <v>#NAME?</v>
      </c>
      <c r="B208" t="e">
        <f t="shared" ref="B208:B270" ca="1" si="28">IF(H208=0,"",ABS(MID(J208,FIND(",",J208)+1,3)))</f>
        <v>#NAME?</v>
      </c>
      <c r="C208" t="e">
        <f t="shared" ref="C208:C270" ca="1" si="29">IF(A208="","",LEFT(IF(A208="","",INDEX($F$15:$G$270,MATCH(H208,$G$15:$G$270,0),1)),1))</f>
        <v>#NAME?</v>
      </c>
      <c r="D208" t="e">
        <f t="shared" ref="D208:D270" ca="1" si="30">IF(C208="","",TRIM(RIGHT(IF(C208="","",INDEX($F$15:$G$270,MATCH(H208,$G$15:$G$270,0),1)),2)))</f>
        <v>#NAME?</v>
      </c>
      <c r="E208" t="e">
        <f t="shared" ref="E208:E270" ca="1" si="31">IF(H208=0,"","elec"&amp;IF($J$6&gt;1,K208&amp;"-","")&amp;H208)</f>
        <v>#NAME?</v>
      </c>
      <c r="F208" s="41" t="s">
        <v>774</v>
      </c>
      <c r="G208" s="41">
        <f t="shared" ref="G208:G270" ca="1" si="32">INDIRECT("'"&amp;$J$2&amp;"'!R"&amp;(VALUE(MID($F208,3,2))-1)+$J$3&amp;"C"&amp;$J$4+IF(LEFT($F208,1)="A",1,0)+IF(LEFT($F208,1)="B",5,0)+IF(LEFT($F208,1)="C",9,0)+IF(LEFT($F208,1)="D",13,0)+IF(LEFT($F208,1)="E",17,0)+IF(LEFT($F208,1)="F",21,0)+IF(LEFT($F208,1)="G",25,0)+IF(LEFT($F208,1)="H",29,0),0)</f>
        <v>159</v>
      </c>
      <c r="H208" s="41">
        <f t="shared" ref="H208:H270" ca="1" si="33">I208</f>
        <v>63</v>
      </c>
      <c r="I208" s="41">
        <f t="shared" ca="1" si="26"/>
        <v>63</v>
      </c>
      <c r="J208" s="41" t="e">
        <f ca="1">IF(H208=0,0,TableSearch(H208,arrayspace,$J$8,$J$7))</f>
        <v>#NAME?</v>
      </c>
      <c r="K208" s="41" t="e">
        <f t="shared" ref="K208:K270" ca="1" si="34">IF(H208=0,0,INDIRECT("'"&amp;$J$2&amp;"'!"&amp;$J$5&amp;(-B208+$J$7+$J$9)))</f>
        <v>#NAME?</v>
      </c>
    </row>
    <row r="209" spans="1:11" x14ac:dyDescent="0.25">
      <c r="A209" t="e">
        <f t="shared" ca="1" si="27"/>
        <v>#NAME?</v>
      </c>
      <c r="B209" t="e">
        <f t="shared" ca="1" si="28"/>
        <v>#NAME?</v>
      </c>
      <c r="C209" t="e">
        <f t="shared" ca="1" si="29"/>
        <v>#NAME?</v>
      </c>
      <c r="D209" t="e">
        <f t="shared" ca="1" si="30"/>
        <v>#NAME?</v>
      </c>
      <c r="E209" t="e">
        <f t="shared" ca="1" si="31"/>
        <v>#NAME?</v>
      </c>
      <c r="F209" s="41" t="s">
        <v>775</v>
      </c>
      <c r="G209" s="41">
        <f t="shared" ca="1" si="32"/>
        <v>177</v>
      </c>
      <c r="H209" s="41">
        <f t="shared" ca="1" si="33"/>
        <v>62</v>
      </c>
      <c r="I209" s="41">
        <f t="shared" ref="I209:I270" ca="1" si="35">IF(ISNA(MATCH($I$15-(ROW()-15),$G$15:$G$270,0)),0,$I$15-(ROW()-15))</f>
        <v>62</v>
      </c>
      <c r="J209" s="41" t="e">
        <f ca="1">IF(H209=0,0,TableSearch(H209,arrayspace,$J$8,$J$7))</f>
        <v>#NAME?</v>
      </c>
      <c r="K209" s="41" t="e">
        <f t="shared" ca="1" si="34"/>
        <v>#NAME?</v>
      </c>
    </row>
    <row r="210" spans="1:11" x14ac:dyDescent="0.25">
      <c r="A210" t="e">
        <f t="shared" ca="1" si="27"/>
        <v>#NAME?</v>
      </c>
      <c r="B210" t="e">
        <f t="shared" ca="1" si="28"/>
        <v>#NAME?</v>
      </c>
      <c r="C210" t="e">
        <f t="shared" ca="1" si="29"/>
        <v>#NAME?</v>
      </c>
      <c r="D210" t="e">
        <f t="shared" ca="1" si="30"/>
        <v>#NAME?</v>
      </c>
      <c r="E210" t="e">
        <f t="shared" ca="1" si="31"/>
        <v>#NAME?</v>
      </c>
      <c r="F210" s="41" t="s">
        <v>776</v>
      </c>
      <c r="G210" s="41">
        <f t="shared" ca="1" si="32"/>
        <v>195</v>
      </c>
      <c r="H210" s="41">
        <f t="shared" ca="1" si="33"/>
        <v>61</v>
      </c>
      <c r="I210" s="41">
        <f t="shared" ca="1" si="35"/>
        <v>61</v>
      </c>
      <c r="J210" s="41" t="e">
        <f ca="1">IF(H210=0,0,TableSearch(H210,arrayspace,$J$8,$J$7))</f>
        <v>#NAME?</v>
      </c>
      <c r="K210" s="41" t="e">
        <f t="shared" ca="1" si="34"/>
        <v>#NAME?</v>
      </c>
    </row>
    <row r="211" spans="1:11" x14ac:dyDescent="0.25">
      <c r="A211" t="e">
        <f t="shared" ca="1" si="27"/>
        <v>#NAME?</v>
      </c>
      <c r="B211" t="e">
        <f t="shared" ca="1" si="28"/>
        <v>#NAME?</v>
      </c>
      <c r="C211" t="e">
        <f t="shared" ca="1" si="29"/>
        <v>#NAME?</v>
      </c>
      <c r="D211" t="e">
        <f t="shared" ca="1" si="30"/>
        <v>#NAME?</v>
      </c>
      <c r="E211" t="e">
        <f t="shared" ca="1" si="31"/>
        <v>#NAME?</v>
      </c>
      <c r="F211" s="41" t="s">
        <v>777</v>
      </c>
      <c r="G211" s="41">
        <f t="shared" ca="1" si="32"/>
        <v>140</v>
      </c>
      <c r="H211" s="41">
        <f t="shared" ca="1" si="33"/>
        <v>60</v>
      </c>
      <c r="I211" s="41">
        <f t="shared" ca="1" si="35"/>
        <v>60</v>
      </c>
      <c r="J211" s="41" t="e">
        <f ca="1">IF(H211=0,0,TableSearch(H211,arrayspace,$J$8,$J$7))</f>
        <v>#NAME?</v>
      </c>
      <c r="K211" s="41" t="e">
        <f t="shared" ca="1" si="34"/>
        <v>#NAME?</v>
      </c>
    </row>
    <row r="212" spans="1:11" x14ac:dyDescent="0.25">
      <c r="A212" t="e">
        <f t="shared" ca="1" si="27"/>
        <v>#NAME?</v>
      </c>
      <c r="B212" t="e">
        <f t="shared" ca="1" si="28"/>
        <v>#NAME?</v>
      </c>
      <c r="C212" t="e">
        <f t="shared" ca="1" si="29"/>
        <v>#NAME?</v>
      </c>
      <c r="D212" t="e">
        <f t="shared" ca="1" si="30"/>
        <v>#NAME?</v>
      </c>
      <c r="E212" t="e">
        <f t="shared" ca="1" si="31"/>
        <v>#NAME?</v>
      </c>
      <c r="F212" s="41" t="s">
        <v>778</v>
      </c>
      <c r="G212" s="41">
        <f t="shared" ca="1" si="32"/>
        <v>158</v>
      </c>
      <c r="H212" s="41">
        <f t="shared" ca="1" si="33"/>
        <v>59</v>
      </c>
      <c r="I212" s="41">
        <f t="shared" ca="1" si="35"/>
        <v>59</v>
      </c>
      <c r="J212" s="41" t="e">
        <f ca="1">IF(H212=0,0,TableSearch(H212,arrayspace,$J$8,$J$7))</f>
        <v>#NAME?</v>
      </c>
      <c r="K212" s="41" t="e">
        <f t="shared" ca="1" si="34"/>
        <v>#NAME?</v>
      </c>
    </row>
    <row r="213" spans="1:11" x14ac:dyDescent="0.25">
      <c r="A213" t="e">
        <f t="shared" ca="1" si="27"/>
        <v>#NAME?</v>
      </c>
      <c r="B213" t="e">
        <f t="shared" ca="1" si="28"/>
        <v>#NAME?</v>
      </c>
      <c r="C213" t="e">
        <f t="shared" ca="1" si="29"/>
        <v>#NAME?</v>
      </c>
      <c r="D213" t="e">
        <f t="shared" ca="1" si="30"/>
        <v>#NAME?</v>
      </c>
      <c r="E213" t="e">
        <f t="shared" ca="1" si="31"/>
        <v>#NAME?</v>
      </c>
      <c r="F213" s="41" t="s">
        <v>779</v>
      </c>
      <c r="G213" s="41">
        <f t="shared" ca="1" si="32"/>
        <v>176</v>
      </c>
      <c r="H213" s="41">
        <f t="shared" ca="1" si="33"/>
        <v>58</v>
      </c>
      <c r="I213" s="41">
        <f t="shared" ca="1" si="35"/>
        <v>58</v>
      </c>
      <c r="J213" s="41" t="e">
        <f ca="1">IF(H213=0,0,TableSearch(H213,arrayspace,$J$8,$J$7))</f>
        <v>#NAME?</v>
      </c>
      <c r="K213" s="41" t="e">
        <f t="shared" ca="1" si="34"/>
        <v>#NAME?</v>
      </c>
    </row>
    <row r="214" spans="1:11" x14ac:dyDescent="0.25">
      <c r="A214" t="e">
        <f t="shared" ca="1" si="27"/>
        <v>#NAME?</v>
      </c>
      <c r="B214" t="e">
        <f t="shared" ca="1" si="28"/>
        <v>#NAME?</v>
      </c>
      <c r="C214" t="e">
        <f t="shared" ca="1" si="29"/>
        <v>#NAME?</v>
      </c>
      <c r="D214" t="e">
        <f t="shared" ca="1" si="30"/>
        <v>#NAME?</v>
      </c>
      <c r="E214" t="e">
        <f t="shared" ca="1" si="31"/>
        <v>#NAME?</v>
      </c>
      <c r="F214" s="41" t="s">
        <v>780</v>
      </c>
      <c r="G214" s="41">
        <f t="shared" ca="1" si="32"/>
        <v>194</v>
      </c>
      <c r="H214" s="41">
        <f t="shared" ca="1" si="33"/>
        <v>57</v>
      </c>
      <c r="I214" s="41">
        <f t="shared" ca="1" si="35"/>
        <v>57</v>
      </c>
      <c r="J214" s="41" t="e">
        <f ca="1">IF(H214=0,0,TableSearch(H214,arrayspace,$J$8,$J$7))</f>
        <v>#NAME?</v>
      </c>
      <c r="K214" s="41" t="e">
        <f t="shared" ca="1" si="34"/>
        <v>#NAME?</v>
      </c>
    </row>
    <row r="215" spans="1:11" x14ac:dyDescent="0.25">
      <c r="A215" t="e">
        <f t="shared" ca="1" si="27"/>
        <v>#NAME?</v>
      </c>
      <c r="B215" t="e">
        <f t="shared" ca="1" si="28"/>
        <v>#NAME?</v>
      </c>
      <c r="C215" t="e">
        <f t="shared" ca="1" si="29"/>
        <v>#NAME?</v>
      </c>
      <c r="D215" t="e">
        <f t="shared" ca="1" si="30"/>
        <v>#NAME?</v>
      </c>
      <c r="E215" t="e">
        <f t="shared" ca="1" si="31"/>
        <v>#NAME?</v>
      </c>
      <c r="F215" s="41" t="s">
        <v>781</v>
      </c>
      <c r="G215" s="41">
        <f t="shared" ca="1" si="32"/>
        <v>139</v>
      </c>
      <c r="H215" s="41">
        <f t="shared" ca="1" si="33"/>
        <v>56</v>
      </c>
      <c r="I215" s="41">
        <f t="shared" ca="1" si="35"/>
        <v>56</v>
      </c>
      <c r="J215" s="41" t="e">
        <f ca="1">IF(H215=0,0,TableSearch(H215,arrayspace,$J$8,$J$7))</f>
        <v>#NAME?</v>
      </c>
      <c r="K215" s="41" t="e">
        <f t="shared" ca="1" si="34"/>
        <v>#NAME?</v>
      </c>
    </row>
    <row r="216" spans="1:11" x14ac:dyDescent="0.25">
      <c r="A216" t="e">
        <f t="shared" ca="1" si="27"/>
        <v>#NAME?</v>
      </c>
      <c r="B216" t="e">
        <f t="shared" ca="1" si="28"/>
        <v>#NAME?</v>
      </c>
      <c r="C216" t="e">
        <f t="shared" ca="1" si="29"/>
        <v>#NAME?</v>
      </c>
      <c r="D216" t="e">
        <f t="shared" ca="1" si="30"/>
        <v>#NAME?</v>
      </c>
      <c r="E216" t="e">
        <f t="shared" ca="1" si="31"/>
        <v>#NAME?</v>
      </c>
      <c r="F216" s="41" t="s">
        <v>782</v>
      </c>
      <c r="G216" s="41">
        <f t="shared" ca="1" si="32"/>
        <v>157</v>
      </c>
      <c r="H216" s="41">
        <f t="shared" ca="1" si="33"/>
        <v>55</v>
      </c>
      <c r="I216" s="41">
        <f t="shared" ca="1" si="35"/>
        <v>55</v>
      </c>
      <c r="J216" s="41" t="e">
        <f ca="1">IF(H216=0,0,TableSearch(H216,arrayspace,$J$8,$J$7))</f>
        <v>#NAME?</v>
      </c>
      <c r="K216" s="41" t="e">
        <f t="shared" ca="1" si="34"/>
        <v>#NAME?</v>
      </c>
    </row>
    <row r="217" spans="1:11" x14ac:dyDescent="0.25">
      <c r="A217" t="e">
        <f t="shared" ca="1" si="27"/>
        <v>#NAME?</v>
      </c>
      <c r="B217" t="e">
        <f t="shared" ca="1" si="28"/>
        <v>#NAME?</v>
      </c>
      <c r="C217" t="e">
        <f t="shared" ca="1" si="29"/>
        <v>#NAME?</v>
      </c>
      <c r="D217" t="e">
        <f t="shared" ca="1" si="30"/>
        <v>#NAME?</v>
      </c>
      <c r="E217" t="e">
        <f t="shared" ca="1" si="31"/>
        <v>#NAME?</v>
      </c>
      <c r="F217" s="41" t="s">
        <v>783</v>
      </c>
      <c r="G217" s="41">
        <f t="shared" ca="1" si="32"/>
        <v>175</v>
      </c>
      <c r="H217" s="41">
        <f t="shared" ca="1" si="33"/>
        <v>54</v>
      </c>
      <c r="I217" s="41">
        <f t="shared" ca="1" si="35"/>
        <v>54</v>
      </c>
      <c r="J217" s="41" t="e">
        <f ca="1">IF(H217=0,0,TableSearch(H217,arrayspace,$J$8,$J$7))</f>
        <v>#NAME?</v>
      </c>
      <c r="K217" s="41" t="e">
        <f t="shared" ca="1" si="34"/>
        <v>#NAME?</v>
      </c>
    </row>
    <row r="218" spans="1:11" x14ac:dyDescent="0.25">
      <c r="A218" t="e">
        <f t="shared" ca="1" si="27"/>
        <v>#NAME?</v>
      </c>
      <c r="B218" t="e">
        <f t="shared" ca="1" si="28"/>
        <v>#NAME?</v>
      </c>
      <c r="C218" t="e">
        <f t="shared" ca="1" si="29"/>
        <v>#NAME?</v>
      </c>
      <c r="D218" t="e">
        <f t="shared" ca="1" si="30"/>
        <v>#NAME?</v>
      </c>
      <c r="E218" t="e">
        <f t="shared" ca="1" si="31"/>
        <v>#NAME?</v>
      </c>
      <c r="F218" s="41" t="s">
        <v>784</v>
      </c>
      <c r="G218" s="41">
        <f t="shared" ca="1" si="32"/>
        <v>193</v>
      </c>
      <c r="H218" s="41">
        <f t="shared" ca="1" si="33"/>
        <v>53</v>
      </c>
      <c r="I218" s="41">
        <f t="shared" ca="1" si="35"/>
        <v>53</v>
      </c>
      <c r="J218" s="41" t="e">
        <f ca="1">IF(H218=0,0,TableSearch(H218,arrayspace,$J$8,$J$7))</f>
        <v>#NAME?</v>
      </c>
      <c r="K218" s="41" t="e">
        <f t="shared" ca="1" si="34"/>
        <v>#NAME?</v>
      </c>
    </row>
    <row r="219" spans="1:11" x14ac:dyDescent="0.25">
      <c r="A219" t="e">
        <f t="shared" ca="1" si="27"/>
        <v>#NAME?</v>
      </c>
      <c r="B219" t="e">
        <f t="shared" ca="1" si="28"/>
        <v>#NAME?</v>
      </c>
      <c r="C219" t="e">
        <f t="shared" ca="1" si="29"/>
        <v>#NAME?</v>
      </c>
      <c r="D219" t="e">
        <f t="shared" ca="1" si="30"/>
        <v>#NAME?</v>
      </c>
      <c r="E219" t="e">
        <f t="shared" ca="1" si="31"/>
        <v>#NAME?</v>
      </c>
      <c r="F219" s="41" t="s">
        <v>785</v>
      </c>
      <c r="G219" s="41">
        <f t="shared" ca="1" si="32"/>
        <v>138</v>
      </c>
      <c r="H219" s="41">
        <f t="shared" ca="1" si="33"/>
        <v>52</v>
      </c>
      <c r="I219" s="41">
        <f t="shared" ca="1" si="35"/>
        <v>52</v>
      </c>
      <c r="J219" s="41" t="e">
        <f ca="1">IF(H219=0,0,TableSearch(H219,arrayspace,$J$8,$J$7))</f>
        <v>#NAME?</v>
      </c>
      <c r="K219" s="41" t="e">
        <f t="shared" ca="1" si="34"/>
        <v>#NAME?</v>
      </c>
    </row>
    <row r="220" spans="1:11" x14ac:dyDescent="0.25">
      <c r="A220" t="e">
        <f t="shared" ca="1" si="27"/>
        <v>#NAME?</v>
      </c>
      <c r="B220" t="e">
        <f t="shared" ca="1" si="28"/>
        <v>#NAME?</v>
      </c>
      <c r="C220" t="e">
        <f t="shared" ca="1" si="29"/>
        <v>#NAME?</v>
      </c>
      <c r="D220" t="e">
        <f t="shared" ca="1" si="30"/>
        <v>#NAME?</v>
      </c>
      <c r="E220" t="e">
        <f t="shared" ca="1" si="31"/>
        <v>#NAME?</v>
      </c>
      <c r="F220" s="41" t="s">
        <v>786</v>
      </c>
      <c r="G220" s="41">
        <f t="shared" ca="1" si="32"/>
        <v>156</v>
      </c>
      <c r="H220" s="41">
        <f t="shared" ca="1" si="33"/>
        <v>51</v>
      </c>
      <c r="I220" s="41">
        <f t="shared" ca="1" si="35"/>
        <v>51</v>
      </c>
      <c r="J220" s="41" t="e">
        <f ca="1">IF(H220=0,0,TableSearch(H220,arrayspace,$J$8,$J$7))</f>
        <v>#NAME?</v>
      </c>
      <c r="K220" s="41" t="e">
        <f t="shared" ca="1" si="34"/>
        <v>#NAME?</v>
      </c>
    </row>
    <row r="221" spans="1:11" x14ac:dyDescent="0.25">
      <c r="A221" t="e">
        <f t="shared" ca="1" si="27"/>
        <v>#NAME?</v>
      </c>
      <c r="B221" t="e">
        <f t="shared" ca="1" si="28"/>
        <v>#NAME?</v>
      </c>
      <c r="C221" t="e">
        <f t="shared" ca="1" si="29"/>
        <v>#NAME?</v>
      </c>
      <c r="D221" t="e">
        <f t="shared" ca="1" si="30"/>
        <v>#NAME?</v>
      </c>
      <c r="E221" t="e">
        <f t="shared" ca="1" si="31"/>
        <v>#NAME?</v>
      </c>
      <c r="F221" s="41" t="s">
        <v>787</v>
      </c>
      <c r="G221" s="41">
        <f t="shared" ca="1" si="32"/>
        <v>174</v>
      </c>
      <c r="H221" s="41">
        <f t="shared" ca="1" si="33"/>
        <v>50</v>
      </c>
      <c r="I221" s="41">
        <f t="shared" ca="1" si="35"/>
        <v>50</v>
      </c>
      <c r="J221" s="41" t="e">
        <f ca="1">IF(H221=0,0,TableSearch(H221,arrayspace,$J$8,$J$7))</f>
        <v>#NAME?</v>
      </c>
      <c r="K221" s="41" t="e">
        <f t="shared" ca="1" si="34"/>
        <v>#NAME?</v>
      </c>
    </row>
    <row r="222" spans="1:11" x14ac:dyDescent="0.25">
      <c r="A222" t="e">
        <f t="shared" ca="1" si="27"/>
        <v>#NAME?</v>
      </c>
      <c r="B222" t="e">
        <f t="shared" ca="1" si="28"/>
        <v>#NAME?</v>
      </c>
      <c r="C222" t="e">
        <f t="shared" ca="1" si="29"/>
        <v>#NAME?</v>
      </c>
      <c r="D222" t="e">
        <f t="shared" ca="1" si="30"/>
        <v>#NAME?</v>
      </c>
      <c r="E222" t="e">
        <f t="shared" ca="1" si="31"/>
        <v>#NAME?</v>
      </c>
      <c r="F222" s="41" t="s">
        <v>788</v>
      </c>
      <c r="G222" s="41">
        <f t="shared" ca="1" si="32"/>
        <v>137</v>
      </c>
      <c r="H222" s="41">
        <f t="shared" ca="1" si="33"/>
        <v>49</v>
      </c>
      <c r="I222" s="41">
        <f t="shared" ca="1" si="35"/>
        <v>49</v>
      </c>
      <c r="J222" s="41" t="e">
        <f ca="1">IF(H222=0,0,TableSearch(H222,arrayspace,$J$8,$J$7))</f>
        <v>#NAME?</v>
      </c>
      <c r="K222" s="41" t="e">
        <f t="shared" ca="1" si="34"/>
        <v>#NAME?</v>
      </c>
    </row>
    <row r="223" spans="1:11" x14ac:dyDescent="0.25">
      <c r="A223" t="e">
        <f t="shared" ca="1" si="27"/>
        <v>#NAME?</v>
      </c>
      <c r="B223" t="e">
        <f t="shared" ca="1" si="28"/>
        <v>#NAME?</v>
      </c>
      <c r="C223" t="e">
        <f t="shared" ca="1" si="29"/>
        <v>#NAME?</v>
      </c>
      <c r="D223" t="e">
        <f t="shared" ca="1" si="30"/>
        <v>#NAME?</v>
      </c>
      <c r="E223" t="e">
        <f t="shared" ca="1" si="31"/>
        <v>#NAME?</v>
      </c>
      <c r="F223" s="41" t="s">
        <v>789</v>
      </c>
      <c r="G223" s="41">
        <f t="shared" ca="1" si="32"/>
        <v>155</v>
      </c>
      <c r="H223" s="41">
        <f t="shared" ca="1" si="33"/>
        <v>48</v>
      </c>
      <c r="I223" s="41">
        <f t="shared" ca="1" si="35"/>
        <v>48</v>
      </c>
      <c r="J223" s="41" t="e">
        <f ca="1">IF(H223=0,0,TableSearch(H223,arrayspace,$J$8,$J$7))</f>
        <v>#NAME?</v>
      </c>
      <c r="K223" s="41" t="e">
        <f t="shared" ca="1" si="34"/>
        <v>#NAME?</v>
      </c>
    </row>
    <row r="224" spans="1:11" x14ac:dyDescent="0.25">
      <c r="A224" t="e">
        <f t="shared" ca="1" si="27"/>
        <v>#NAME?</v>
      </c>
      <c r="B224" t="e">
        <f t="shared" ca="1" si="28"/>
        <v>#NAME?</v>
      </c>
      <c r="C224" t="e">
        <f t="shared" ca="1" si="29"/>
        <v>#NAME?</v>
      </c>
      <c r="D224" t="e">
        <f t="shared" ca="1" si="30"/>
        <v>#NAME?</v>
      </c>
      <c r="E224" t="e">
        <f t="shared" ca="1" si="31"/>
        <v>#NAME?</v>
      </c>
      <c r="F224" s="41" t="s">
        <v>790</v>
      </c>
      <c r="G224" s="41">
        <f t="shared" ca="1" si="32"/>
        <v>173</v>
      </c>
      <c r="H224" s="41">
        <f t="shared" ca="1" si="33"/>
        <v>47</v>
      </c>
      <c r="I224" s="41">
        <f t="shared" ca="1" si="35"/>
        <v>47</v>
      </c>
      <c r="J224" s="41" t="e">
        <f ca="1">IF(H224=0,0,TableSearch(H224,arrayspace,$J$8,$J$7))</f>
        <v>#NAME?</v>
      </c>
      <c r="K224" s="41" t="e">
        <f t="shared" ca="1" si="34"/>
        <v>#NAME?</v>
      </c>
    </row>
    <row r="225" spans="1:11" x14ac:dyDescent="0.25">
      <c r="A225" t="e">
        <f t="shared" ca="1" si="27"/>
        <v>#NAME?</v>
      </c>
      <c r="B225" t="e">
        <f t="shared" ca="1" si="28"/>
        <v>#NAME?</v>
      </c>
      <c r="C225" t="e">
        <f t="shared" ca="1" si="29"/>
        <v>#NAME?</v>
      </c>
      <c r="D225" t="e">
        <f t="shared" ca="1" si="30"/>
        <v>#NAME?</v>
      </c>
      <c r="E225" t="e">
        <f t="shared" ca="1" si="31"/>
        <v>#NAME?</v>
      </c>
      <c r="F225" s="41" t="s">
        <v>791</v>
      </c>
      <c r="G225" s="41">
        <f t="shared" ca="1" si="32"/>
        <v>136</v>
      </c>
      <c r="H225" s="41">
        <f t="shared" ca="1" si="33"/>
        <v>46</v>
      </c>
      <c r="I225" s="41">
        <f t="shared" ca="1" si="35"/>
        <v>46</v>
      </c>
      <c r="J225" s="41" t="e">
        <f ca="1">IF(H225=0,0,TableSearch(H225,arrayspace,$J$8,$J$7))</f>
        <v>#NAME?</v>
      </c>
      <c r="K225" s="41" t="e">
        <f t="shared" ca="1" si="34"/>
        <v>#NAME?</v>
      </c>
    </row>
    <row r="226" spans="1:11" x14ac:dyDescent="0.25">
      <c r="A226" t="e">
        <f t="shared" ca="1" si="27"/>
        <v>#NAME?</v>
      </c>
      <c r="B226" t="e">
        <f t="shared" ca="1" si="28"/>
        <v>#NAME?</v>
      </c>
      <c r="C226" t="e">
        <f t="shared" ca="1" si="29"/>
        <v>#NAME?</v>
      </c>
      <c r="D226" t="e">
        <f t="shared" ca="1" si="30"/>
        <v>#NAME?</v>
      </c>
      <c r="E226" t="e">
        <f t="shared" ca="1" si="31"/>
        <v>#NAME?</v>
      </c>
      <c r="F226" s="41" t="s">
        <v>792</v>
      </c>
      <c r="G226" s="41">
        <f t="shared" ca="1" si="32"/>
        <v>154</v>
      </c>
      <c r="H226" s="41">
        <f t="shared" ca="1" si="33"/>
        <v>45</v>
      </c>
      <c r="I226" s="41">
        <f t="shared" ca="1" si="35"/>
        <v>45</v>
      </c>
      <c r="J226" s="41" t="e">
        <f ca="1">IF(H226=0,0,TableSearch(H226,arrayspace,$J$8,$J$7))</f>
        <v>#NAME?</v>
      </c>
      <c r="K226" s="41" t="e">
        <f t="shared" ca="1" si="34"/>
        <v>#NAME?</v>
      </c>
    </row>
    <row r="227" spans="1:11" x14ac:dyDescent="0.25">
      <c r="A227" t="e">
        <f t="shared" ca="1" si="27"/>
        <v>#NAME?</v>
      </c>
      <c r="B227" t="e">
        <f t="shared" ca="1" si="28"/>
        <v>#NAME?</v>
      </c>
      <c r="C227" t="e">
        <f t="shared" ca="1" si="29"/>
        <v>#NAME?</v>
      </c>
      <c r="D227" t="e">
        <f t="shared" ca="1" si="30"/>
        <v>#NAME?</v>
      </c>
      <c r="E227" t="e">
        <f t="shared" ca="1" si="31"/>
        <v>#NAME?</v>
      </c>
      <c r="F227" s="41" t="s">
        <v>793</v>
      </c>
      <c r="G227" s="41">
        <f t="shared" ca="1" si="32"/>
        <v>172</v>
      </c>
      <c r="H227" s="41">
        <f t="shared" ca="1" si="33"/>
        <v>44</v>
      </c>
      <c r="I227" s="41">
        <f t="shared" ca="1" si="35"/>
        <v>44</v>
      </c>
      <c r="J227" s="41" t="e">
        <f ca="1">IF(H227=0,0,TableSearch(H227,arrayspace,$J$8,$J$7))</f>
        <v>#NAME?</v>
      </c>
      <c r="K227" s="41" t="e">
        <f t="shared" ca="1" si="34"/>
        <v>#NAME?</v>
      </c>
    </row>
    <row r="228" spans="1:11" x14ac:dyDescent="0.25">
      <c r="A228" t="e">
        <f t="shared" ca="1" si="27"/>
        <v>#NAME?</v>
      </c>
      <c r="B228" t="e">
        <f t="shared" ca="1" si="28"/>
        <v>#NAME?</v>
      </c>
      <c r="C228" t="e">
        <f t="shared" ca="1" si="29"/>
        <v>#NAME?</v>
      </c>
      <c r="D228" t="e">
        <f t="shared" ca="1" si="30"/>
        <v>#NAME?</v>
      </c>
      <c r="E228" t="e">
        <f t="shared" ca="1" si="31"/>
        <v>#NAME?</v>
      </c>
      <c r="F228" s="41" t="s">
        <v>794</v>
      </c>
      <c r="G228" s="41">
        <f t="shared" ca="1" si="32"/>
        <v>135</v>
      </c>
      <c r="H228" s="41">
        <f t="shared" ca="1" si="33"/>
        <v>43</v>
      </c>
      <c r="I228" s="41">
        <f t="shared" ca="1" si="35"/>
        <v>43</v>
      </c>
      <c r="J228" s="41" t="e">
        <f ca="1">IF(H228=0,0,TableSearch(H228,arrayspace,$J$8,$J$7))</f>
        <v>#NAME?</v>
      </c>
      <c r="K228" s="41" t="e">
        <f t="shared" ca="1" si="34"/>
        <v>#NAME?</v>
      </c>
    </row>
    <row r="229" spans="1:11" x14ac:dyDescent="0.25">
      <c r="A229" t="e">
        <f t="shared" ca="1" si="27"/>
        <v>#NAME?</v>
      </c>
      <c r="B229" t="e">
        <f t="shared" ca="1" si="28"/>
        <v>#NAME?</v>
      </c>
      <c r="C229" t="e">
        <f t="shared" ca="1" si="29"/>
        <v>#NAME?</v>
      </c>
      <c r="D229" t="e">
        <f t="shared" ca="1" si="30"/>
        <v>#NAME?</v>
      </c>
      <c r="E229" t="e">
        <f t="shared" ca="1" si="31"/>
        <v>#NAME?</v>
      </c>
      <c r="F229" s="41" t="s">
        <v>795</v>
      </c>
      <c r="G229" s="41">
        <f t="shared" ca="1" si="32"/>
        <v>153</v>
      </c>
      <c r="H229" s="41">
        <f t="shared" ca="1" si="33"/>
        <v>42</v>
      </c>
      <c r="I229" s="41">
        <f t="shared" ca="1" si="35"/>
        <v>42</v>
      </c>
      <c r="J229" s="41" t="e">
        <f ca="1">IF(H229=0,0,TableSearch(H229,arrayspace,$J$8,$J$7))</f>
        <v>#NAME?</v>
      </c>
      <c r="K229" s="41" t="e">
        <f t="shared" ca="1" si="34"/>
        <v>#NAME?</v>
      </c>
    </row>
    <row r="230" spans="1:11" x14ac:dyDescent="0.25">
      <c r="A230" t="e">
        <f t="shared" ca="1" si="27"/>
        <v>#NAME?</v>
      </c>
      <c r="B230" t="e">
        <f t="shared" ca="1" si="28"/>
        <v>#NAME?</v>
      </c>
      <c r="C230" t="e">
        <f t="shared" ca="1" si="29"/>
        <v>#NAME?</v>
      </c>
      <c r="D230" t="e">
        <f t="shared" ca="1" si="30"/>
        <v>#NAME?</v>
      </c>
      <c r="E230" t="e">
        <f t="shared" ca="1" si="31"/>
        <v>#NAME?</v>
      </c>
      <c r="F230" s="41" t="s">
        <v>796</v>
      </c>
      <c r="G230" s="41">
        <f t="shared" ca="1" si="32"/>
        <v>171</v>
      </c>
      <c r="H230" s="41">
        <f t="shared" ca="1" si="33"/>
        <v>41</v>
      </c>
      <c r="I230" s="41">
        <f t="shared" ca="1" si="35"/>
        <v>41</v>
      </c>
      <c r="J230" s="41" t="e">
        <f ca="1">IF(H230=0,0,TableSearch(H230,arrayspace,$J$8,$J$7))</f>
        <v>#NAME?</v>
      </c>
      <c r="K230" s="41" t="e">
        <f t="shared" ca="1" si="34"/>
        <v>#NAME?</v>
      </c>
    </row>
    <row r="231" spans="1:11" x14ac:dyDescent="0.25">
      <c r="A231" t="e">
        <f t="shared" ca="1" si="27"/>
        <v>#NAME?</v>
      </c>
      <c r="B231" t="e">
        <f t="shared" ca="1" si="28"/>
        <v>#NAME?</v>
      </c>
      <c r="C231" t="e">
        <f t="shared" ca="1" si="29"/>
        <v>#NAME?</v>
      </c>
      <c r="D231" t="e">
        <f t="shared" ca="1" si="30"/>
        <v>#NAME?</v>
      </c>
      <c r="E231" t="e">
        <f t="shared" ca="1" si="31"/>
        <v>#NAME?</v>
      </c>
      <c r="F231" s="41" t="s">
        <v>797</v>
      </c>
      <c r="G231" s="41">
        <f t="shared" ca="1" si="32"/>
        <v>116</v>
      </c>
      <c r="H231" s="41">
        <f t="shared" ca="1" si="33"/>
        <v>40</v>
      </c>
      <c r="I231" s="41">
        <f t="shared" ca="1" si="35"/>
        <v>40</v>
      </c>
      <c r="J231" s="41" t="e">
        <f ca="1">IF(H231=0,0,TableSearch(H231,arrayspace,$J$8,$J$7))</f>
        <v>#NAME?</v>
      </c>
      <c r="K231" s="41" t="e">
        <f t="shared" ca="1" si="34"/>
        <v>#NAME?</v>
      </c>
    </row>
    <row r="232" spans="1:11" x14ac:dyDescent="0.25">
      <c r="A232" t="e">
        <f t="shared" ca="1" si="27"/>
        <v>#NAME?</v>
      </c>
      <c r="B232" t="e">
        <f t="shared" ca="1" si="28"/>
        <v>#NAME?</v>
      </c>
      <c r="C232" t="e">
        <f t="shared" ca="1" si="29"/>
        <v>#NAME?</v>
      </c>
      <c r="D232" t="e">
        <f t="shared" ca="1" si="30"/>
        <v>#NAME?</v>
      </c>
      <c r="E232" t="e">
        <f t="shared" ca="1" si="31"/>
        <v>#NAME?</v>
      </c>
      <c r="F232" s="41" t="s">
        <v>798</v>
      </c>
      <c r="G232" s="41">
        <f t="shared" ca="1" si="32"/>
        <v>134</v>
      </c>
      <c r="H232" s="41">
        <f t="shared" ca="1" si="33"/>
        <v>39</v>
      </c>
      <c r="I232" s="41">
        <f t="shared" ca="1" si="35"/>
        <v>39</v>
      </c>
      <c r="J232" s="41" t="e">
        <f ca="1">IF(H232=0,0,TableSearch(H232,arrayspace,$J$8,$J$7))</f>
        <v>#NAME?</v>
      </c>
      <c r="K232" s="41" t="e">
        <f t="shared" ca="1" si="34"/>
        <v>#NAME?</v>
      </c>
    </row>
    <row r="233" spans="1:11" x14ac:dyDescent="0.25">
      <c r="A233" t="e">
        <f t="shared" ca="1" si="27"/>
        <v>#NAME?</v>
      </c>
      <c r="B233" t="e">
        <f t="shared" ca="1" si="28"/>
        <v>#NAME?</v>
      </c>
      <c r="C233" t="e">
        <f t="shared" ca="1" si="29"/>
        <v>#NAME?</v>
      </c>
      <c r="D233" t="e">
        <f t="shared" ca="1" si="30"/>
        <v>#NAME?</v>
      </c>
      <c r="E233" t="e">
        <f t="shared" ca="1" si="31"/>
        <v>#NAME?</v>
      </c>
      <c r="F233" s="41" t="s">
        <v>799</v>
      </c>
      <c r="G233" s="41">
        <f t="shared" ca="1" si="32"/>
        <v>152</v>
      </c>
      <c r="H233" s="41">
        <f t="shared" ca="1" si="33"/>
        <v>38</v>
      </c>
      <c r="I233" s="41">
        <f t="shared" ca="1" si="35"/>
        <v>38</v>
      </c>
      <c r="J233" s="41" t="e">
        <f ca="1">IF(H233=0,0,TableSearch(H233,arrayspace,$J$8,$J$7))</f>
        <v>#NAME?</v>
      </c>
      <c r="K233" s="41" t="e">
        <f t="shared" ca="1" si="34"/>
        <v>#NAME?</v>
      </c>
    </row>
    <row r="234" spans="1:11" x14ac:dyDescent="0.25">
      <c r="A234" t="e">
        <f t="shared" ca="1" si="27"/>
        <v>#NAME?</v>
      </c>
      <c r="B234" t="e">
        <f t="shared" ca="1" si="28"/>
        <v>#NAME?</v>
      </c>
      <c r="C234" t="e">
        <f t="shared" ca="1" si="29"/>
        <v>#NAME?</v>
      </c>
      <c r="D234" t="e">
        <f t="shared" ca="1" si="30"/>
        <v>#NAME?</v>
      </c>
      <c r="E234" t="e">
        <f t="shared" ca="1" si="31"/>
        <v>#NAME?</v>
      </c>
      <c r="F234" s="41" t="s">
        <v>800</v>
      </c>
      <c r="G234" s="41">
        <f t="shared" ca="1" si="32"/>
        <v>170</v>
      </c>
      <c r="H234" s="41">
        <f t="shared" ca="1" si="33"/>
        <v>37</v>
      </c>
      <c r="I234" s="41">
        <f t="shared" ca="1" si="35"/>
        <v>37</v>
      </c>
      <c r="J234" s="41" t="e">
        <f ca="1">IF(H234=0,0,TableSearch(H234,arrayspace,$J$8,$J$7))</f>
        <v>#NAME?</v>
      </c>
      <c r="K234" s="41" t="e">
        <f t="shared" ca="1" si="34"/>
        <v>#NAME?</v>
      </c>
    </row>
    <row r="235" spans="1:11" x14ac:dyDescent="0.25">
      <c r="A235" t="e">
        <f t="shared" ca="1" si="27"/>
        <v>#NAME?</v>
      </c>
      <c r="B235" t="e">
        <f t="shared" ca="1" si="28"/>
        <v>#NAME?</v>
      </c>
      <c r="C235" t="e">
        <f t="shared" ca="1" si="29"/>
        <v>#NAME?</v>
      </c>
      <c r="D235" t="e">
        <f t="shared" ca="1" si="30"/>
        <v>#NAME?</v>
      </c>
      <c r="E235" t="e">
        <f t="shared" ca="1" si="31"/>
        <v>#NAME?</v>
      </c>
      <c r="F235" s="41" t="s">
        <v>801</v>
      </c>
      <c r="G235" s="41">
        <f t="shared" ca="1" si="32"/>
        <v>115</v>
      </c>
      <c r="H235" s="41">
        <f t="shared" ca="1" si="33"/>
        <v>36</v>
      </c>
      <c r="I235" s="41">
        <f t="shared" ca="1" si="35"/>
        <v>36</v>
      </c>
      <c r="J235" s="41" t="e">
        <f ca="1">IF(H235=0,0,TableSearch(H235,arrayspace,$J$8,$J$7))</f>
        <v>#NAME?</v>
      </c>
      <c r="K235" s="41" t="e">
        <f t="shared" ca="1" si="34"/>
        <v>#NAME?</v>
      </c>
    </row>
    <row r="236" spans="1:11" x14ac:dyDescent="0.25">
      <c r="A236" t="e">
        <f t="shared" ca="1" si="27"/>
        <v>#NAME?</v>
      </c>
      <c r="B236" t="e">
        <f t="shared" ca="1" si="28"/>
        <v>#NAME?</v>
      </c>
      <c r="C236" t="e">
        <f t="shared" ca="1" si="29"/>
        <v>#NAME?</v>
      </c>
      <c r="D236" t="e">
        <f t="shared" ca="1" si="30"/>
        <v>#NAME?</v>
      </c>
      <c r="E236" t="e">
        <f t="shared" ca="1" si="31"/>
        <v>#NAME?</v>
      </c>
      <c r="F236" s="41" t="s">
        <v>802</v>
      </c>
      <c r="G236" s="41">
        <f t="shared" ca="1" si="32"/>
        <v>133</v>
      </c>
      <c r="H236" s="41">
        <f t="shared" ca="1" si="33"/>
        <v>35</v>
      </c>
      <c r="I236" s="41">
        <f t="shared" ca="1" si="35"/>
        <v>35</v>
      </c>
      <c r="J236" s="41" t="e">
        <f ca="1">IF(H236=0,0,TableSearch(H236,arrayspace,$J$8,$J$7))</f>
        <v>#NAME?</v>
      </c>
      <c r="K236" s="41" t="e">
        <f t="shared" ca="1" si="34"/>
        <v>#NAME?</v>
      </c>
    </row>
    <row r="237" spans="1:11" x14ac:dyDescent="0.25">
      <c r="A237" t="e">
        <f t="shared" ca="1" si="27"/>
        <v>#NAME?</v>
      </c>
      <c r="B237" t="e">
        <f t="shared" ca="1" si="28"/>
        <v>#NAME?</v>
      </c>
      <c r="C237" t="e">
        <f t="shared" ca="1" si="29"/>
        <v>#NAME?</v>
      </c>
      <c r="D237" t="e">
        <f t="shared" ca="1" si="30"/>
        <v>#NAME?</v>
      </c>
      <c r="E237" t="e">
        <f t="shared" ca="1" si="31"/>
        <v>#NAME?</v>
      </c>
      <c r="F237" s="41" t="s">
        <v>803</v>
      </c>
      <c r="G237" s="41">
        <f t="shared" ca="1" si="32"/>
        <v>151</v>
      </c>
      <c r="H237" s="41">
        <f t="shared" ca="1" si="33"/>
        <v>34</v>
      </c>
      <c r="I237" s="41">
        <f t="shared" ca="1" si="35"/>
        <v>34</v>
      </c>
      <c r="J237" s="41" t="e">
        <f ca="1">IF(H237=0,0,TableSearch(H237,arrayspace,$J$8,$J$7))</f>
        <v>#NAME?</v>
      </c>
      <c r="K237" s="41" t="e">
        <f t="shared" ca="1" si="34"/>
        <v>#NAME?</v>
      </c>
    </row>
    <row r="238" spans="1:11" x14ac:dyDescent="0.25">
      <c r="A238" t="e">
        <f t="shared" ca="1" si="27"/>
        <v>#NAME?</v>
      </c>
      <c r="B238" t="e">
        <f t="shared" ca="1" si="28"/>
        <v>#NAME?</v>
      </c>
      <c r="C238" t="e">
        <f t="shared" ca="1" si="29"/>
        <v>#NAME?</v>
      </c>
      <c r="D238" t="e">
        <f t="shared" ca="1" si="30"/>
        <v>#NAME?</v>
      </c>
      <c r="E238" t="e">
        <f t="shared" ca="1" si="31"/>
        <v>#NAME?</v>
      </c>
      <c r="F238" s="41" t="s">
        <v>804</v>
      </c>
      <c r="G238" s="41">
        <f t="shared" ca="1" si="32"/>
        <v>169</v>
      </c>
      <c r="H238" s="41">
        <f t="shared" ca="1" si="33"/>
        <v>33</v>
      </c>
      <c r="I238" s="41">
        <f t="shared" ca="1" si="35"/>
        <v>33</v>
      </c>
      <c r="J238" s="41" t="e">
        <f ca="1">IF(H238=0,0,TableSearch(H238,arrayspace,$J$8,$J$7))</f>
        <v>#NAME?</v>
      </c>
      <c r="K238" s="41" t="e">
        <f t="shared" ca="1" si="34"/>
        <v>#NAME?</v>
      </c>
    </row>
    <row r="239" spans="1:11" x14ac:dyDescent="0.25">
      <c r="A239" t="e">
        <f t="shared" ca="1" si="27"/>
        <v>#NAME?</v>
      </c>
      <c r="B239" t="e">
        <f t="shared" ca="1" si="28"/>
        <v>#NAME?</v>
      </c>
      <c r="C239" t="e">
        <f t="shared" ca="1" si="29"/>
        <v>#NAME?</v>
      </c>
      <c r="D239" t="e">
        <f t="shared" ca="1" si="30"/>
        <v>#NAME?</v>
      </c>
      <c r="E239" t="e">
        <f t="shared" ca="1" si="31"/>
        <v>#NAME?</v>
      </c>
      <c r="F239" s="41" t="s">
        <v>805</v>
      </c>
      <c r="G239" s="41">
        <f t="shared" ca="1" si="32"/>
        <v>212</v>
      </c>
      <c r="H239" s="41">
        <f t="shared" ca="1" si="33"/>
        <v>32</v>
      </c>
      <c r="I239" s="41">
        <f t="shared" ca="1" si="35"/>
        <v>32</v>
      </c>
      <c r="J239" s="41" t="e">
        <f ca="1">IF(H239=0,0,TableSearch(H239,arrayspace,$J$8,$J$7))</f>
        <v>#NAME?</v>
      </c>
      <c r="K239" s="41" t="e">
        <f t="shared" ca="1" si="34"/>
        <v>#NAME?</v>
      </c>
    </row>
    <row r="240" spans="1:11" x14ac:dyDescent="0.25">
      <c r="A240" t="e">
        <f t="shared" ca="1" si="27"/>
        <v>#NAME?</v>
      </c>
      <c r="B240" t="e">
        <f t="shared" ca="1" si="28"/>
        <v>#NAME?</v>
      </c>
      <c r="C240" t="e">
        <f t="shared" ca="1" si="29"/>
        <v>#NAME?</v>
      </c>
      <c r="D240" t="e">
        <f t="shared" ca="1" si="30"/>
        <v>#NAME?</v>
      </c>
      <c r="E240" t="e">
        <f t="shared" ca="1" si="31"/>
        <v>#NAME?</v>
      </c>
      <c r="F240" s="41" t="s">
        <v>806</v>
      </c>
      <c r="G240" s="41">
        <f t="shared" ca="1" si="32"/>
        <v>227</v>
      </c>
      <c r="H240" s="41">
        <f t="shared" ca="1" si="33"/>
        <v>31</v>
      </c>
      <c r="I240" s="41">
        <f t="shared" ca="1" si="35"/>
        <v>31</v>
      </c>
      <c r="J240" s="41" t="e">
        <f ca="1">IF(H240=0,0,TableSearch(H240,arrayspace,$J$8,$J$7))</f>
        <v>#NAME?</v>
      </c>
      <c r="K240" s="41" t="e">
        <f t="shared" ca="1" si="34"/>
        <v>#NAME?</v>
      </c>
    </row>
    <row r="241" spans="1:11" x14ac:dyDescent="0.25">
      <c r="A241" t="e">
        <f t="shared" ca="1" si="27"/>
        <v>#NAME?</v>
      </c>
      <c r="B241" t="e">
        <f t="shared" ca="1" si="28"/>
        <v>#NAME?</v>
      </c>
      <c r="C241" t="e">
        <f t="shared" ca="1" si="29"/>
        <v>#NAME?</v>
      </c>
      <c r="D241" t="e">
        <f t="shared" ca="1" si="30"/>
        <v>#NAME?</v>
      </c>
      <c r="E241" t="e">
        <f t="shared" ca="1" si="31"/>
        <v>#NAME?</v>
      </c>
      <c r="F241" s="41" t="s">
        <v>807</v>
      </c>
      <c r="G241" s="41">
        <f t="shared" ca="1" si="32"/>
        <v>240</v>
      </c>
      <c r="H241" s="41">
        <f t="shared" ca="1" si="33"/>
        <v>30</v>
      </c>
      <c r="I241" s="41">
        <f t="shared" ca="1" si="35"/>
        <v>30</v>
      </c>
      <c r="J241" s="41" t="e">
        <f ca="1">IF(H241=0,0,TableSearch(H241,arrayspace,$J$8,$J$7))</f>
        <v>#NAME?</v>
      </c>
      <c r="K241" s="41" t="e">
        <f t="shared" ca="1" si="34"/>
        <v>#NAME?</v>
      </c>
    </row>
    <row r="242" spans="1:11" x14ac:dyDescent="0.25">
      <c r="A242" t="e">
        <f t="shared" ca="1" si="27"/>
        <v>#NAME?</v>
      </c>
      <c r="B242" t="e">
        <f t="shared" ca="1" si="28"/>
        <v>#NAME?</v>
      </c>
      <c r="C242" t="e">
        <f t="shared" ca="1" si="29"/>
        <v>#NAME?</v>
      </c>
      <c r="D242" t="e">
        <f t="shared" ca="1" si="30"/>
        <v>#NAME?</v>
      </c>
      <c r="E242" t="e">
        <f t="shared" ca="1" si="31"/>
        <v>#NAME?</v>
      </c>
      <c r="F242" s="41" t="s">
        <v>808</v>
      </c>
      <c r="G242" s="41">
        <f t="shared" ca="1" si="32"/>
        <v>251</v>
      </c>
      <c r="H242" s="41">
        <f t="shared" ca="1" si="33"/>
        <v>29</v>
      </c>
      <c r="I242" s="41">
        <f t="shared" ca="1" si="35"/>
        <v>29</v>
      </c>
      <c r="J242" s="41" t="e">
        <f ca="1">IF(H242=0,0,TableSearch(H242,arrayspace,$J$8,$J$7))</f>
        <v>#NAME?</v>
      </c>
      <c r="K242" s="41" t="e">
        <f t="shared" ca="1" si="34"/>
        <v>#NAME?</v>
      </c>
    </row>
    <row r="243" spans="1:11" x14ac:dyDescent="0.25">
      <c r="A243" t="e">
        <f t="shared" ca="1" si="27"/>
        <v>#NAME?</v>
      </c>
      <c r="B243" t="e">
        <f t="shared" ca="1" si="28"/>
        <v>#NAME?</v>
      </c>
      <c r="C243" t="e">
        <f t="shared" ca="1" si="29"/>
        <v>#NAME?</v>
      </c>
      <c r="D243" t="e">
        <f t="shared" ca="1" si="30"/>
        <v>#NAME?</v>
      </c>
      <c r="E243" t="e">
        <f t="shared" ca="1" si="31"/>
        <v>#NAME?</v>
      </c>
      <c r="F243" s="41" t="s">
        <v>809</v>
      </c>
      <c r="G243" s="41">
        <f t="shared" ca="1" si="32"/>
        <v>211</v>
      </c>
      <c r="H243" s="41">
        <f t="shared" ca="1" si="33"/>
        <v>28</v>
      </c>
      <c r="I243" s="41">
        <f t="shared" ca="1" si="35"/>
        <v>28</v>
      </c>
      <c r="J243" s="41" t="e">
        <f ca="1">IF(H243=0,0,TableSearch(H243,arrayspace,$J$8,$J$7))</f>
        <v>#NAME?</v>
      </c>
      <c r="K243" s="41" t="e">
        <f t="shared" ca="1" si="34"/>
        <v>#NAME?</v>
      </c>
    </row>
    <row r="244" spans="1:11" x14ac:dyDescent="0.25">
      <c r="A244" t="e">
        <f t="shared" ca="1" si="27"/>
        <v>#NAME?</v>
      </c>
      <c r="B244" t="e">
        <f t="shared" ca="1" si="28"/>
        <v>#NAME?</v>
      </c>
      <c r="C244" t="e">
        <f t="shared" ca="1" si="29"/>
        <v>#NAME?</v>
      </c>
      <c r="D244" t="e">
        <f t="shared" ca="1" si="30"/>
        <v>#NAME?</v>
      </c>
      <c r="E244" t="e">
        <f t="shared" ca="1" si="31"/>
        <v>#NAME?</v>
      </c>
      <c r="F244" s="41" t="s">
        <v>810</v>
      </c>
      <c r="G244" s="41">
        <f t="shared" ca="1" si="32"/>
        <v>226</v>
      </c>
      <c r="H244" s="41">
        <f t="shared" ca="1" si="33"/>
        <v>27</v>
      </c>
      <c r="I244" s="41">
        <f t="shared" ca="1" si="35"/>
        <v>27</v>
      </c>
      <c r="J244" s="41" t="e">
        <f ca="1">IF(H244=0,0,TableSearch(H244,arrayspace,$J$8,$J$7))</f>
        <v>#NAME?</v>
      </c>
      <c r="K244" s="41" t="e">
        <f t="shared" ca="1" si="34"/>
        <v>#NAME?</v>
      </c>
    </row>
    <row r="245" spans="1:11" x14ac:dyDescent="0.25">
      <c r="A245" t="e">
        <f t="shared" ca="1" si="27"/>
        <v>#NAME?</v>
      </c>
      <c r="B245" t="e">
        <f t="shared" ca="1" si="28"/>
        <v>#NAME?</v>
      </c>
      <c r="C245" t="e">
        <f t="shared" ca="1" si="29"/>
        <v>#NAME?</v>
      </c>
      <c r="D245" t="e">
        <f t="shared" ca="1" si="30"/>
        <v>#NAME?</v>
      </c>
      <c r="E245" t="e">
        <f t="shared" ca="1" si="31"/>
        <v>#NAME?</v>
      </c>
      <c r="F245" s="41" t="s">
        <v>811</v>
      </c>
      <c r="G245" s="41">
        <f t="shared" ca="1" si="32"/>
        <v>239</v>
      </c>
      <c r="H245" s="41">
        <f t="shared" ca="1" si="33"/>
        <v>26</v>
      </c>
      <c r="I245" s="41">
        <f t="shared" ca="1" si="35"/>
        <v>26</v>
      </c>
      <c r="J245" s="41" t="e">
        <f ca="1">IF(H245=0,0,TableSearch(H245,arrayspace,$J$8,$J$7))</f>
        <v>#NAME?</v>
      </c>
      <c r="K245" s="41" t="e">
        <f t="shared" ca="1" si="34"/>
        <v>#NAME?</v>
      </c>
    </row>
    <row r="246" spans="1:11" x14ac:dyDescent="0.25">
      <c r="A246" t="e">
        <f t="shared" ca="1" si="27"/>
        <v>#NAME?</v>
      </c>
      <c r="B246" t="e">
        <f t="shared" ca="1" si="28"/>
        <v>#NAME?</v>
      </c>
      <c r="C246" t="e">
        <f t="shared" ca="1" si="29"/>
        <v>#NAME?</v>
      </c>
      <c r="D246" t="e">
        <f t="shared" ca="1" si="30"/>
        <v>#NAME?</v>
      </c>
      <c r="E246" t="e">
        <f t="shared" ca="1" si="31"/>
        <v>#NAME?</v>
      </c>
      <c r="F246" s="41" t="s">
        <v>812</v>
      </c>
      <c r="G246" s="41">
        <f t="shared" ca="1" si="32"/>
        <v>250</v>
      </c>
      <c r="H246" s="41">
        <f t="shared" ca="1" si="33"/>
        <v>25</v>
      </c>
      <c r="I246" s="41">
        <f t="shared" ca="1" si="35"/>
        <v>25</v>
      </c>
      <c r="J246" s="41" t="e">
        <f ca="1">IF(H246=0,0,TableSearch(H246,arrayspace,$J$8,$J$7))</f>
        <v>#NAME?</v>
      </c>
      <c r="K246" s="41" t="e">
        <f t="shared" ca="1" si="34"/>
        <v>#NAME?</v>
      </c>
    </row>
    <row r="247" spans="1:11" x14ac:dyDescent="0.25">
      <c r="A247" t="e">
        <f t="shared" ca="1" si="27"/>
        <v>#NAME?</v>
      </c>
      <c r="B247" t="e">
        <f t="shared" ca="1" si="28"/>
        <v>#NAME?</v>
      </c>
      <c r="C247" t="e">
        <f t="shared" ca="1" si="29"/>
        <v>#NAME?</v>
      </c>
      <c r="D247" t="e">
        <f t="shared" ca="1" si="30"/>
        <v>#NAME?</v>
      </c>
      <c r="E247" t="e">
        <f t="shared" ca="1" si="31"/>
        <v>#NAME?</v>
      </c>
      <c r="F247" s="41" t="s">
        <v>813</v>
      </c>
      <c r="G247" s="41">
        <f t="shared" ca="1" si="32"/>
        <v>210</v>
      </c>
      <c r="H247" s="41">
        <f t="shared" ca="1" si="33"/>
        <v>24</v>
      </c>
      <c r="I247" s="41">
        <f t="shared" ca="1" si="35"/>
        <v>24</v>
      </c>
      <c r="J247" s="41" t="e">
        <f ca="1">IF(H247=0,0,TableSearch(H247,arrayspace,$J$8,$J$7))</f>
        <v>#NAME?</v>
      </c>
      <c r="K247" s="41" t="e">
        <f t="shared" ca="1" si="34"/>
        <v>#NAME?</v>
      </c>
    </row>
    <row r="248" spans="1:11" x14ac:dyDescent="0.25">
      <c r="A248" t="e">
        <f t="shared" ca="1" si="27"/>
        <v>#NAME?</v>
      </c>
      <c r="B248" t="e">
        <f t="shared" ca="1" si="28"/>
        <v>#NAME?</v>
      </c>
      <c r="C248" t="e">
        <f t="shared" ca="1" si="29"/>
        <v>#NAME?</v>
      </c>
      <c r="D248" t="e">
        <f t="shared" ca="1" si="30"/>
        <v>#NAME?</v>
      </c>
      <c r="E248" t="e">
        <f t="shared" ca="1" si="31"/>
        <v>#NAME?</v>
      </c>
      <c r="F248" s="41" t="s">
        <v>814</v>
      </c>
      <c r="G248" s="41">
        <f t="shared" ca="1" si="32"/>
        <v>225</v>
      </c>
      <c r="H248" s="41">
        <f t="shared" ca="1" si="33"/>
        <v>23</v>
      </c>
      <c r="I248" s="41">
        <f t="shared" ca="1" si="35"/>
        <v>23</v>
      </c>
      <c r="J248" s="41" t="e">
        <f ca="1">IF(H248=0,0,TableSearch(H248,arrayspace,$J$8,$J$7))</f>
        <v>#NAME?</v>
      </c>
      <c r="K248" s="41" t="e">
        <f t="shared" ca="1" si="34"/>
        <v>#NAME?</v>
      </c>
    </row>
    <row r="249" spans="1:11" x14ac:dyDescent="0.25">
      <c r="A249" t="e">
        <f t="shared" ca="1" si="27"/>
        <v>#NAME?</v>
      </c>
      <c r="B249" t="e">
        <f t="shared" ca="1" si="28"/>
        <v>#NAME?</v>
      </c>
      <c r="C249" t="e">
        <f t="shared" ca="1" si="29"/>
        <v>#NAME?</v>
      </c>
      <c r="D249" t="e">
        <f t="shared" ca="1" si="30"/>
        <v>#NAME?</v>
      </c>
      <c r="E249" t="e">
        <f t="shared" ca="1" si="31"/>
        <v>#NAME?</v>
      </c>
      <c r="F249" s="41" t="s">
        <v>815</v>
      </c>
      <c r="G249" s="41">
        <f t="shared" ca="1" si="32"/>
        <v>238</v>
      </c>
      <c r="H249" s="41">
        <f t="shared" ca="1" si="33"/>
        <v>22</v>
      </c>
      <c r="I249" s="41">
        <f t="shared" ca="1" si="35"/>
        <v>22</v>
      </c>
      <c r="J249" s="41" t="e">
        <f ca="1">IF(H249=0,0,TableSearch(H249,arrayspace,$J$8,$J$7))</f>
        <v>#NAME?</v>
      </c>
      <c r="K249" s="41" t="e">
        <f t="shared" ca="1" si="34"/>
        <v>#NAME?</v>
      </c>
    </row>
    <row r="250" spans="1:11" x14ac:dyDescent="0.25">
      <c r="A250" t="e">
        <f t="shared" ca="1" si="27"/>
        <v>#NAME?</v>
      </c>
      <c r="B250" t="e">
        <f t="shared" ca="1" si="28"/>
        <v>#NAME?</v>
      </c>
      <c r="C250" t="e">
        <f t="shared" ca="1" si="29"/>
        <v>#NAME?</v>
      </c>
      <c r="D250" t="e">
        <f t="shared" ca="1" si="30"/>
        <v>#NAME?</v>
      </c>
      <c r="E250" t="e">
        <f t="shared" ca="1" si="31"/>
        <v>#NAME?</v>
      </c>
      <c r="F250" s="41" t="s">
        <v>816</v>
      </c>
      <c r="G250" s="41">
        <f t="shared" ca="1" si="32"/>
        <v>249</v>
      </c>
      <c r="H250" s="41">
        <f t="shared" ca="1" si="33"/>
        <v>21</v>
      </c>
      <c r="I250" s="41">
        <f t="shared" ca="1" si="35"/>
        <v>21</v>
      </c>
      <c r="J250" s="41" t="e">
        <f ca="1">IF(H250=0,0,TableSearch(H250,arrayspace,$J$8,$J$7))</f>
        <v>#NAME?</v>
      </c>
      <c r="K250" s="41" t="e">
        <f t="shared" ca="1" si="34"/>
        <v>#NAME?</v>
      </c>
    </row>
    <row r="251" spans="1:11" x14ac:dyDescent="0.25">
      <c r="A251" t="e">
        <f t="shared" ca="1" si="27"/>
        <v>#NAME?</v>
      </c>
      <c r="B251" t="e">
        <f t="shared" ca="1" si="28"/>
        <v>#NAME?</v>
      </c>
      <c r="C251" t="e">
        <f t="shared" ca="1" si="29"/>
        <v>#NAME?</v>
      </c>
      <c r="D251" t="e">
        <f t="shared" ca="1" si="30"/>
        <v>#NAME?</v>
      </c>
      <c r="E251" t="e">
        <f t="shared" ca="1" si="31"/>
        <v>#NAME?</v>
      </c>
      <c r="F251" s="41" t="s">
        <v>817</v>
      </c>
      <c r="G251" s="41">
        <f t="shared" ca="1" si="32"/>
        <v>192</v>
      </c>
      <c r="H251" s="41">
        <f t="shared" ca="1" si="33"/>
        <v>20</v>
      </c>
      <c r="I251" s="41">
        <f t="shared" ca="1" si="35"/>
        <v>20</v>
      </c>
      <c r="J251" s="41" t="e">
        <f ca="1">IF(H251=0,0,TableSearch(H251,arrayspace,$J$8,$J$7))</f>
        <v>#NAME?</v>
      </c>
      <c r="K251" s="41" t="e">
        <f t="shared" ca="1" si="34"/>
        <v>#NAME?</v>
      </c>
    </row>
    <row r="252" spans="1:11" x14ac:dyDescent="0.25">
      <c r="A252" t="e">
        <f t="shared" ca="1" si="27"/>
        <v>#NAME?</v>
      </c>
      <c r="B252" t="e">
        <f t="shared" ca="1" si="28"/>
        <v>#NAME?</v>
      </c>
      <c r="C252" t="e">
        <f t="shared" ca="1" si="29"/>
        <v>#NAME?</v>
      </c>
      <c r="D252" t="e">
        <f t="shared" ca="1" si="30"/>
        <v>#NAME?</v>
      </c>
      <c r="E252" t="e">
        <f t="shared" ca="1" si="31"/>
        <v>#NAME?</v>
      </c>
      <c r="F252" s="41" t="s">
        <v>818</v>
      </c>
      <c r="G252" s="41">
        <f t="shared" ca="1" si="32"/>
        <v>209</v>
      </c>
      <c r="H252" s="41">
        <f t="shared" ca="1" si="33"/>
        <v>19</v>
      </c>
      <c r="I252" s="41">
        <f t="shared" ca="1" si="35"/>
        <v>19</v>
      </c>
      <c r="J252" s="41" t="e">
        <f ca="1">IF(H252=0,0,TableSearch(H252,arrayspace,$J$8,$J$7))</f>
        <v>#NAME?</v>
      </c>
      <c r="K252" s="41" t="e">
        <f t="shared" ca="1" si="34"/>
        <v>#NAME?</v>
      </c>
    </row>
    <row r="253" spans="1:11" x14ac:dyDescent="0.25">
      <c r="A253" t="e">
        <f t="shared" ca="1" si="27"/>
        <v>#NAME?</v>
      </c>
      <c r="B253" t="e">
        <f t="shared" ca="1" si="28"/>
        <v>#NAME?</v>
      </c>
      <c r="C253" t="e">
        <f t="shared" ca="1" si="29"/>
        <v>#NAME?</v>
      </c>
      <c r="D253" t="e">
        <f t="shared" ca="1" si="30"/>
        <v>#NAME?</v>
      </c>
      <c r="E253" t="e">
        <f t="shared" ca="1" si="31"/>
        <v>#NAME?</v>
      </c>
      <c r="F253" s="41" t="s">
        <v>819</v>
      </c>
      <c r="G253" s="41">
        <f t="shared" ca="1" si="32"/>
        <v>224</v>
      </c>
      <c r="H253" s="41">
        <f t="shared" ca="1" si="33"/>
        <v>18</v>
      </c>
      <c r="I253" s="41">
        <f t="shared" ca="1" si="35"/>
        <v>18</v>
      </c>
      <c r="J253" s="41" t="e">
        <f ca="1">IF(H253=0,0,TableSearch(H253,arrayspace,$J$8,$J$7))</f>
        <v>#NAME?</v>
      </c>
      <c r="K253" s="41" t="e">
        <f t="shared" ca="1" si="34"/>
        <v>#NAME?</v>
      </c>
    </row>
    <row r="254" spans="1:11" x14ac:dyDescent="0.25">
      <c r="A254" t="e">
        <f t="shared" ca="1" si="27"/>
        <v>#NAME?</v>
      </c>
      <c r="B254" t="e">
        <f t="shared" ca="1" si="28"/>
        <v>#NAME?</v>
      </c>
      <c r="C254" t="e">
        <f t="shared" ca="1" si="29"/>
        <v>#NAME?</v>
      </c>
      <c r="D254" t="e">
        <f t="shared" ca="1" si="30"/>
        <v>#NAME?</v>
      </c>
      <c r="E254" t="e">
        <f t="shared" ca="1" si="31"/>
        <v>#NAME?</v>
      </c>
      <c r="F254" s="41" t="s">
        <v>820</v>
      </c>
      <c r="G254" s="41">
        <f t="shared" ca="1" si="32"/>
        <v>237</v>
      </c>
      <c r="H254" s="41">
        <f t="shared" ca="1" si="33"/>
        <v>17</v>
      </c>
      <c r="I254" s="41">
        <f t="shared" ca="1" si="35"/>
        <v>17</v>
      </c>
      <c r="J254" s="41" t="e">
        <f ca="1">IF(H254=0,0,TableSearch(H254,arrayspace,$J$8,$J$7))</f>
        <v>#NAME?</v>
      </c>
      <c r="K254" s="41" t="e">
        <f t="shared" ca="1" si="34"/>
        <v>#NAME?</v>
      </c>
    </row>
    <row r="255" spans="1:11" x14ac:dyDescent="0.25">
      <c r="A255" t="e">
        <f t="shared" ca="1" si="27"/>
        <v>#NAME?</v>
      </c>
      <c r="B255" t="e">
        <f t="shared" ca="1" si="28"/>
        <v>#NAME?</v>
      </c>
      <c r="C255" t="e">
        <f t="shared" ca="1" si="29"/>
        <v>#NAME?</v>
      </c>
      <c r="D255" t="e">
        <f t="shared" ca="1" si="30"/>
        <v>#NAME?</v>
      </c>
      <c r="E255" t="e">
        <f t="shared" ca="1" si="31"/>
        <v>#NAME?</v>
      </c>
      <c r="F255" s="41" t="s">
        <v>821</v>
      </c>
      <c r="G255" s="41">
        <f t="shared" ca="1" si="32"/>
        <v>248</v>
      </c>
      <c r="H255" s="41">
        <f t="shared" ca="1" si="33"/>
        <v>16</v>
      </c>
      <c r="I255" s="41">
        <f t="shared" ca="1" si="35"/>
        <v>16</v>
      </c>
      <c r="J255" s="41" t="e">
        <f ca="1">IF(H255=0,0,TableSearch(H255,arrayspace,$J$8,$J$7))</f>
        <v>#NAME?</v>
      </c>
      <c r="K255" s="41" t="e">
        <f t="shared" ca="1" si="34"/>
        <v>#NAME?</v>
      </c>
    </row>
    <row r="256" spans="1:11" x14ac:dyDescent="0.25">
      <c r="A256" t="e">
        <f t="shared" ca="1" si="27"/>
        <v>#NAME?</v>
      </c>
      <c r="B256" t="e">
        <f t="shared" ca="1" si="28"/>
        <v>#NAME?</v>
      </c>
      <c r="C256" t="e">
        <f t="shared" ca="1" si="29"/>
        <v>#NAME?</v>
      </c>
      <c r="D256" t="e">
        <f t="shared" ca="1" si="30"/>
        <v>#NAME?</v>
      </c>
      <c r="E256" t="e">
        <f t="shared" ca="1" si="31"/>
        <v>#NAME?</v>
      </c>
      <c r="F256" s="41" t="s">
        <v>822</v>
      </c>
      <c r="G256" s="41">
        <f t="shared" ca="1" si="32"/>
        <v>191</v>
      </c>
      <c r="H256" s="41">
        <f t="shared" ca="1" si="33"/>
        <v>15</v>
      </c>
      <c r="I256" s="41">
        <f t="shared" ca="1" si="35"/>
        <v>15</v>
      </c>
      <c r="J256" s="41" t="e">
        <f ca="1">IF(H256=0,0,TableSearch(H256,arrayspace,$J$8,$J$7))</f>
        <v>#NAME?</v>
      </c>
      <c r="K256" s="41" t="e">
        <f t="shared" ca="1" si="34"/>
        <v>#NAME?</v>
      </c>
    </row>
    <row r="257" spans="1:11" x14ac:dyDescent="0.25">
      <c r="A257" t="e">
        <f t="shared" ca="1" si="27"/>
        <v>#NAME?</v>
      </c>
      <c r="B257" t="e">
        <f t="shared" ca="1" si="28"/>
        <v>#NAME?</v>
      </c>
      <c r="C257" t="e">
        <f t="shared" ca="1" si="29"/>
        <v>#NAME?</v>
      </c>
      <c r="D257" t="e">
        <f t="shared" ca="1" si="30"/>
        <v>#NAME?</v>
      </c>
      <c r="E257" t="e">
        <f t="shared" ca="1" si="31"/>
        <v>#NAME?</v>
      </c>
      <c r="F257" s="41" t="s">
        <v>823</v>
      </c>
      <c r="G257" s="41">
        <f t="shared" ca="1" si="32"/>
        <v>208</v>
      </c>
      <c r="H257" s="41">
        <f t="shared" ca="1" si="33"/>
        <v>14</v>
      </c>
      <c r="I257" s="41">
        <f t="shared" ca="1" si="35"/>
        <v>14</v>
      </c>
      <c r="J257" s="41" t="e">
        <f ca="1">IF(H257=0,0,TableSearch(H257,arrayspace,$J$8,$J$7))</f>
        <v>#NAME?</v>
      </c>
      <c r="K257" s="41" t="e">
        <f t="shared" ca="1" si="34"/>
        <v>#NAME?</v>
      </c>
    </row>
    <row r="258" spans="1:11" x14ac:dyDescent="0.25">
      <c r="A258" t="e">
        <f t="shared" ca="1" si="27"/>
        <v>#NAME?</v>
      </c>
      <c r="B258" t="e">
        <f t="shared" ca="1" si="28"/>
        <v>#NAME?</v>
      </c>
      <c r="C258" t="e">
        <f t="shared" ca="1" si="29"/>
        <v>#NAME?</v>
      </c>
      <c r="D258" t="e">
        <f t="shared" ca="1" si="30"/>
        <v>#NAME?</v>
      </c>
      <c r="E258" t="e">
        <f t="shared" ca="1" si="31"/>
        <v>#NAME?</v>
      </c>
      <c r="F258" s="41" t="s">
        <v>824</v>
      </c>
      <c r="G258" s="41">
        <f t="shared" ca="1" si="32"/>
        <v>223</v>
      </c>
      <c r="H258" s="41">
        <f t="shared" ca="1" si="33"/>
        <v>13</v>
      </c>
      <c r="I258" s="41">
        <f t="shared" ca="1" si="35"/>
        <v>13</v>
      </c>
      <c r="J258" s="41" t="e">
        <f ca="1">IF(H258=0,0,TableSearch(H258,arrayspace,$J$8,$J$7))</f>
        <v>#NAME?</v>
      </c>
      <c r="K258" s="41" t="e">
        <f t="shared" ca="1" si="34"/>
        <v>#NAME?</v>
      </c>
    </row>
    <row r="259" spans="1:11" x14ac:dyDescent="0.25">
      <c r="A259" t="e">
        <f t="shared" ca="1" si="27"/>
        <v>#NAME?</v>
      </c>
      <c r="B259" t="e">
        <f t="shared" ca="1" si="28"/>
        <v>#NAME?</v>
      </c>
      <c r="C259" t="e">
        <f t="shared" ca="1" si="29"/>
        <v>#NAME?</v>
      </c>
      <c r="D259" t="e">
        <f t="shared" ca="1" si="30"/>
        <v>#NAME?</v>
      </c>
      <c r="E259" t="e">
        <f t="shared" ca="1" si="31"/>
        <v>#NAME?</v>
      </c>
      <c r="F259" s="41" t="s">
        <v>825</v>
      </c>
      <c r="G259" s="41">
        <f t="shared" ca="1" si="32"/>
        <v>236</v>
      </c>
      <c r="H259" s="41">
        <f t="shared" ca="1" si="33"/>
        <v>12</v>
      </c>
      <c r="I259" s="41">
        <f t="shared" ca="1" si="35"/>
        <v>12</v>
      </c>
      <c r="J259" s="41" t="e">
        <f ca="1">IF(H259=0,0,TableSearch(H259,arrayspace,$J$8,$J$7))</f>
        <v>#NAME?</v>
      </c>
      <c r="K259" s="41" t="e">
        <f t="shared" ca="1" si="34"/>
        <v>#NAME?</v>
      </c>
    </row>
    <row r="260" spans="1:11" x14ac:dyDescent="0.25">
      <c r="A260" t="e">
        <f t="shared" ca="1" si="27"/>
        <v>#NAME?</v>
      </c>
      <c r="B260" t="e">
        <f t="shared" ca="1" si="28"/>
        <v>#NAME?</v>
      </c>
      <c r="C260" t="e">
        <f t="shared" ca="1" si="29"/>
        <v>#NAME?</v>
      </c>
      <c r="D260" t="e">
        <f t="shared" ca="1" si="30"/>
        <v>#NAME?</v>
      </c>
      <c r="E260" t="e">
        <f t="shared" ca="1" si="31"/>
        <v>#NAME?</v>
      </c>
      <c r="F260" s="41" t="s">
        <v>826</v>
      </c>
      <c r="G260" s="41">
        <f t="shared" ca="1" si="32"/>
        <v>247</v>
      </c>
      <c r="H260" s="41">
        <f t="shared" ca="1" si="33"/>
        <v>11</v>
      </c>
      <c r="I260" s="41">
        <f t="shared" ca="1" si="35"/>
        <v>11</v>
      </c>
      <c r="J260" s="41" t="e">
        <f ca="1">IF(H260=0,0,TableSearch(H260,arrayspace,$J$8,$J$7))</f>
        <v>#NAME?</v>
      </c>
      <c r="K260" s="41" t="e">
        <f t="shared" ca="1" si="34"/>
        <v>#NAME?</v>
      </c>
    </row>
    <row r="261" spans="1:11" x14ac:dyDescent="0.25">
      <c r="A261" t="e">
        <f t="shared" ca="1" si="27"/>
        <v>#NAME?</v>
      </c>
      <c r="B261" t="e">
        <f t="shared" ca="1" si="28"/>
        <v>#NAME?</v>
      </c>
      <c r="C261" t="e">
        <f t="shared" ca="1" si="29"/>
        <v>#NAME?</v>
      </c>
      <c r="D261" t="e">
        <f t="shared" ca="1" si="30"/>
        <v>#NAME?</v>
      </c>
      <c r="E261" t="e">
        <f t="shared" ca="1" si="31"/>
        <v>#NAME?</v>
      </c>
      <c r="F261" s="41" t="s">
        <v>827</v>
      </c>
      <c r="G261" s="41">
        <f t="shared" ca="1" si="32"/>
        <v>190</v>
      </c>
      <c r="H261" s="41">
        <f t="shared" ca="1" si="33"/>
        <v>10</v>
      </c>
      <c r="I261" s="41">
        <f t="shared" ca="1" si="35"/>
        <v>10</v>
      </c>
      <c r="J261" s="41" t="e">
        <f ca="1">IF(H261=0,0,TableSearch(H261,arrayspace,$J$8,$J$7))</f>
        <v>#NAME?</v>
      </c>
      <c r="K261" s="41" t="e">
        <f t="shared" ca="1" si="34"/>
        <v>#NAME?</v>
      </c>
    </row>
    <row r="262" spans="1:11" x14ac:dyDescent="0.25">
      <c r="A262" t="e">
        <f t="shared" ca="1" si="27"/>
        <v>#NAME?</v>
      </c>
      <c r="B262" t="e">
        <f t="shared" ca="1" si="28"/>
        <v>#NAME?</v>
      </c>
      <c r="C262" t="e">
        <f t="shared" ca="1" si="29"/>
        <v>#NAME?</v>
      </c>
      <c r="D262" t="e">
        <f t="shared" ca="1" si="30"/>
        <v>#NAME?</v>
      </c>
      <c r="E262" t="e">
        <f t="shared" ca="1" si="31"/>
        <v>#NAME?</v>
      </c>
      <c r="F262" s="41" t="s">
        <v>828</v>
      </c>
      <c r="G262" s="41">
        <f t="shared" ca="1" si="32"/>
        <v>207</v>
      </c>
      <c r="H262" s="41">
        <f t="shared" ca="1" si="33"/>
        <v>9</v>
      </c>
      <c r="I262" s="41">
        <f t="shared" ca="1" si="35"/>
        <v>9</v>
      </c>
      <c r="J262" s="41" t="e">
        <f ca="1">IF(H262=0,0,TableSearch(H262,arrayspace,$J$8,$J$7))</f>
        <v>#NAME?</v>
      </c>
      <c r="K262" s="41" t="e">
        <f t="shared" ca="1" si="34"/>
        <v>#NAME?</v>
      </c>
    </row>
    <row r="263" spans="1:11" x14ac:dyDescent="0.25">
      <c r="A263" t="e">
        <f t="shared" ca="1" si="27"/>
        <v>#NAME?</v>
      </c>
      <c r="B263" t="e">
        <f t="shared" ca="1" si="28"/>
        <v>#NAME?</v>
      </c>
      <c r="C263" t="e">
        <f t="shared" ca="1" si="29"/>
        <v>#NAME?</v>
      </c>
      <c r="D263" t="e">
        <f t="shared" ca="1" si="30"/>
        <v>#NAME?</v>
      </c>
      <c r="E263" t="e">
        <f t="shared" ca="1" si="31"/>
        <v>#NAME?</v>
      </c>
      <c r="F263" s="41" t="s">
        <v>829</v>
      </c>
      <c r="G263" s="41">
        <f t="shared" ca="1" si="32"/>
        <v>222</v>
      </c>
      <c r="H263" s="41">
        <f t="shared" ca="1" si="33"/>
        <v>8</v>
      </c>
      <c r="I263" s="41">
        <f t="shared" ca="1" si="35"/>
        <v>8</v>
      </c>
      <c r="J263" s="41" t="e">
        <f ca="1">IF(H263=0,0,TableSearch(H263,arrayspace,$J$8,$J$7))</f>
        <v>#NAME?</v>
      </c>
      <c r="K263" s="41" t="e">
        <f t="shared" ca="1" si="34"/>
        <v>#NAME?</v>
      </c>
    </row>
    <row r="264" spans="1:11" x14ac:dyDescent="0.25">
      <c r="A264" t="e">
        <f t="shared" ca="1" si="27"/>
        <v>#NAME?</v>
      </c>
      <c r="B264" t="e">
        <f t="shared" ca="1" si="28"/>
        <v>#NAME?</v>
      </c>
      <c r="C264" t="e">
        <f t="shared" ca="1" si="29"/>
        <v>#NAME?</v>
      </c>
      <c r="D264" t="e">
        <f t="shared" ca="1" si="30"/>
        <v>#NAME?</v>
      </c>
      <c r="E264" t="e">
        <f t="shared" ca="1" si="31"/>
        <v>#NAME?</v>
      </c>
      <c r="F264" s="41" t="s">
        <v>830</v>
      </c>
      <c r="G264" s="41">
        <f t="shared" ca="1" si="32"/>
        <v>235</v>
      </c>
      <c r="H264" s="41">
        <f t="shared" ca="1" si="33"/>
        <v>7</v>
      </c>
      <c r="I264" s="41">
        <f t="shared" ca="1" si="35"/>
        <v>7</v>
      </c>
      <c r="J264" s="41" t="e">
        <f ca="1">IF(H264=0,0,TableSearch(H264,arrayspace,$J$8,$J$7))</f>
        <v>#NAME?</v>
      </c>
      <c r="K264" s="41" t="e">
        <f t="shared" ca="1" si="34"/>
        <v>#NAME?</v>
      </c>
    </row>
    <row r="265" spans="1:11" x14ac:dyDescent="0.25">
      <c r="A265" t="e">
        <f t="shared" ca="1" si="27"/>
        <v>#NAME?</v>
      </c>
      <c r="B265" t="e">
        <f t="shared" ca="1" si="28"/>
        <v>#NAME?</v>
      </c>
      <c r="C265" t="e">
        <f t="shared" ca="1" si="29"/>
        <v>#NAME?</v>
      </c>
      <c r="D265" t="e">
        <f t="shared" ca="1" si="30"/>
        <v>#NAME?</v>
      </c>
      <c r="E265" t="e">
        <f t="shared" ca="1" si="31"/>
        <v>#NAME?</v>
      </c>
      <c r="F265" s="41" t="s">
        <v>831</v>
      </c>
      <c r="G265" s="41">
        <f t="shared" ca="1" si="32"/>
        <v>189</v>
      </c>
      <c r="H265" s="41">
        <f t="shared" ca="1" si="33"/>
        <v>6</v>
      </c>
      <c r="I265" s="41">
        <f t="shared" ca="1" si="35"/>
        <v>6</v>
      </c>
      <c r="J265" s="41" t="e">
        <f ca="1">IF(H265=0,0,TableSearch(H265,arrayspace,$J$8,$J$7))</f>
        <v>#NAME?</v>
      </c>
      <c r="K265" s="41" t="e">
        <f t="shared" ca="1" si="34"/>
        <v>#NAME?</v>
      </c>
    </row>
    <row r="266" spans="1:11" x14ac:dyDescent="0.25">
      <c r="A266" t="e">
        <f t="shared" ca="1" si="27"/>
        <v>#NAME?</v>
      </c>
      <c r="B266" t="e">
        <f t="shared" ca="1" si="28"/>
        <v>#NAME?</v>
      </c>
      <c r="C266" t="e">
        <f t="shared" ca="1" si="29"/>
        <v>#NAME?</v>
      </c>
      <c r="D266" t="e">
        <f t="shared" ca="1" si="30"/>
        <v>#NAME?</v>
      </c>
      <c r="E266" t="e">
        <f t="shared" ca="1" si="31"/>
        <v>#NAME?</v>
      </c>
      <c r="F266" s="41" t="s">
        <v>832</v>
      </c>
      <c r="G266" s="41">
        <f t="shared" ca="1" si="32"/>
        <v>206</v>
      </c>
      <c r="H266" s="41">
        <f t="shared" ca="1" si="33"/>
        <v>5</v>
      </c>
      <c r="I266" s="41">
        <f t="shared" ca="1" si="35"/>
        <v>5</v>
      </c>
      <c r="J266" s="41" t="e">
        <f ca="1">IF(H266=0,0,TableSearch(H266,arrayspace,$J$8,$J$7))</f>
        <v>#NAME?</v>
      </c>
      <c r="K266" s="41" t="e">
        <f t="shared" ca="1" si="34"/>
        <v>#NAME?</v>
      </c>
    </row>
    <row r="267" spans="1:11" x14ac:dyDescent="0.25">
      <c r="A267" t="e">
        <f t="shared" ca="1" si="27"/>
        <v>#NAME?</v>
      </c>
      <c r="B267" t="e">
        <f t="shared" ca="1" si="28"/>
        <v>#NAME?</v>
      </c>
      <c r="C267" t="e">
        <f t="shared" ca="1" si="29"/>
        <v>#NAME?</v>
      </c>
      <c r="D267" t="e">
        <f t="shared" ca="1" si="30"/>
        <v>#NAME?</v>
      </c>
      <c r="E267" t="e">
        <f t="shared" ca="1" si="31"/>
        <v>#NAME?</v>
      </c>
      <c r="F267" s="41" t="s">
        <v>833</v>
      </c>
      <c r="G267" s="41">
        <f t="shared" ca="1" si="32"/>
        <v>221</v>
      </c>
      <c r="H267" s="41">
        <f t="shared" ca="1" si="33"/>
        <v>4</v>
      </c>
      <c r="I267" s="41">
        <f t="shared" ca="1" si="35"/>
        <v>4</v>
      </c>
      <c r="J267" s="41" t="e">
        <f ca="1">IF(H267=0,0,TableSearch(H267,arrayspace,$J$8,$J$7))</f>
        <v>#NAME?</v>
      </c>
      <c r="K267" s="41" t="e">
        <f t="shared" ca="1" si="34"/>
        <v>#NAME?</v>
      </c>
    </row>
    <row r="268" spans="1:11" x14ac:dyDescent="0.25">
      <c r="A268" t="e">
        <f t="shared" ca="1" si="27"/>
        <v>#NAME?</v>
      </c>
      <c r="B268" t="e">
        <f t="shared" ca="1" si="28"/>
        <v>#NAME?</v>
      </c>
      <c r="C268" t="e">
        <f t="shared" ca="1" si="29"/>
        <v>#NAME?</v>
      </c>
      <c r="D268" t="e">
        <f t="shared" ca="1" si="30"/>
        <v>#NAME?</v>
      </c>
      <c r="E268" t="e">
        <f t="shared" ca="1" si="31"/>
        <v>#NAME?</v>
      </c>
      <c r="F268" s="41" t="s">
        <v>834</v>
      </c>
      <c r="G268" s="41">
        <f t="shared" ca="1" si="32"/>
        <v>188</v>
      </c>
      <c r="H268" s="41">
        <f t="shared" ca="1" si="33"/>
        <v>3</v>
      </c>
      <c r="I268" s="41">
        <f t="shared" ca="1" si="35"/>
        <v>3</v>
      </c>
      <c r="J268" s="41" t="e">
        <f ca="1">IF(H268=0,0,TableSearch(H268,arrayspace,$J$8,$J$7))</f>
        <v>#NAME?</v>
      </c>
      <c r="K268" s="41" t="e">
        <f t="shared" ca="1" si="34"/>
        <v>#NAME?</v>
      </c>
    </row>
    <row r="269" spans="1:11" x14ac:dyDescent="0.25">
      <c r="A269" t="e">
        <f t="shared" ca="1" si="27"/>
        <v>#NAME?</v>
      </c>
      <c r="B269" t="e">
        <f t="shared" ca="1" si="28"/>
        <v>#NAME?</v>
      </c>
      <c r="C269" t="e">
        <f t="shared" ca="1" si="29"/>
        <v>#NAME?</v>
      </c>
      <c r="D269" t="e">
        <f t="shared" ca="1" si="30"/>
        <v>#NAME?</v>
      </c>
      <c r="E269" t="e">
        <f t="shared" ca="1" si="31"/>
        <v>#NAME?</v>
      </c>
      <c r="F269" s="41" t="s">
        <v>835</v>
      </c>
      <c r="G269" s="41">
        <f t="shared" ca="1" si="32"/>
        <v>205</v>
      </c>
      <c r="H269" s="41">
        <f t="shared" ca="1" si="33"/>
        <v>2</v>
      </c>
      <c r="I269" s="41">
        <f t="shared" ca="1" si="35"/>
        <v>2</v>
      </c>
      <c r="J269" s="41" t="e">
        <f ca="1">IF(H269=0,0,TableSearch(H269,arrayspace,$J$8,$J$7))</f>
        <v>#NAME?</v>
      </c>
      <c r="K269" s="41" t="e">
        <f t="shared" ca="1" si="34"/>
        <v>#NAME?</v>
      </c>
    </row>
    <row r="270" spans="1:11" x14ac:dyDescent="0.25">
      <c r="A270" t="e">
        <f t="shared" ca="1" si="27"/>
        <v>#NAME?</v>
      </c>
      <c r="B270" t="e">
        <f t="shared" ca="1" si="28"/>
        <v>#NAME?</v>
      </c>
      <c r="C270" t="e">
        <f t="shared" ca="1" si="29"/>
        <v>#NAME?</v>
      </c>
      <c r="D270" t="e">
        <f t="shared" ca="1" si="30"/>
        <v>#NAME?</v>
      </c>
      <c r="E270" t="e">
        <f t="shared" ca="1" si="31"/>
        <v>#NAME?</v>
      </c>
      <c r="F270" s="41" t="s">
        <v>836</v>
      </c>
      <c r="G270" s="41">
        <f t="shared" ca="1" si="32"/>
        <v>187</v>
      </c>
      <c r="H270" s="41">
        <f t="shared" ca="1" si="33"/>
        <v>1</v>
      </c>
      <c r="I270" s="41">
        <f t="shared" ca="1" si="35"/>
        <v>1</v>
      </c>
      <c r="J270" s="41" t="e">
        <f ca="1">IF(H270=0,0,TableSearch(H270,arrayspace,$J$8,$J$7))</f>
        <v>#NAME?</v>
      </c>
      <c r="K270" s="41" t="e">
        <f t="shared" ca="1" si="34"/>
        <v>#NAME?</v>
      </c>
    </row>
  </sheetData>
  <phoneticPr fontId="3"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29E42-9CBA-49F8-BD95-105FA4A7CE77}">
  <sheetPr>
    <pageSetUpPr fitToPage="1"/>
  </sheetPr>
  <dimension ref="A1:T41"/>
  <sheetViews>
    <sheetView tabSelected="1" topLeftCell="A22" zoomScale="70" zoomScaleNormal="70" workbookViewId="0">
      <selection activeCell="V31" sqref="V31"/>
    </sheetView>
  </sheetViews>
  <sheetFormatPr defaultColWidth="5.44140625" defaultRowHeight="30.6" customHeight="1" x14ac:dyDescent="0.25"/>
  <cols>
    <col min="1" max="1" width="5.44140625" style="106" customWidth="1"/>
    <col min="2" max="9" width="12.77734375" style="106" customWidth="1"/>
    <col min="10" max="16384" width="5.44140625" style="106"/>
  </cols>
  <sheetData>
    <row r="1" spans="1:20" ht="30.6" customHeight="1" x14ac:dyDescent="0.25">
      <c r="J1" s="201"/>
      <c r="K1" s="211"/>
      <c r="L1" s="212"/>
      <c r="M1" s="212"/>
      <c r="N1" s="210" t="s">
        <v>937</v>
      </c>
      <c r="O1" s="213"/>
      <c r="P1" s="213"/>
      <c r="Q1" s="213"/>
      <c r="R1" s="212"/>
      <c r="S1" s="212"/>
      <c r="T1" s="211"/>
    </row>
    <row r="2" spans="1:20" ht="30.6" customHeight="1" x14ac:dyDescent="0.25">
      <c r="A2" s="214"/>
      <c r="B2" s="214"/>
      <c r="C2" s="202" t="s">
        <v>941</v>
      </c>
      <c r="D2" s="202"/>
      <c r="E2" s="202"/>
      <c r="F2" s="202"/>
      <c r="G2" s="202"/>
      <c r="H2" s="202"/>
      <c r="J2" s="201"/>
      <c r="K2" s="211"/>
      <c r="L2" s="215">
        <v>1</v>
      </c>
      <c r="M2" s="215">
        <v>9</v>
      </c>
      <c r="N2" s="215">
        <v>17</v>
      </c>
      <c r="O2" s="215">
        <v>25</v>
      </c>
      <c r="P2" s="215">
        <v>33</v>
      </c>
      <c r="Q2" s="215">
        <v>41</v>
      </c>
      <c r="R2" s="215">
        <v>49</v>
      </c>
      <c r="S2" s="215">
        <v>57</v>
      </c>
      <c r="T2" s="211"/>
    </row>
    <row r="3" spans="1:20" ht="30.6" customHeight="1" x14ac:dyDescent="0.25">
      <c r="A3" s="214"/>
      <c r="B3" s="214">
        <v>0</v>
      </c>
      <c r="C3" s="214">
        <v>1</v>
      </c>
      <c r="D3" s="214">
        <v>2</v>
      </c>
      <c r="E3" s="214">
        <v>3</v>
      </c>
      <c r="F3" s="214">
        <v>4</v>
      </c>
      <c r="G3" s="214">
        <v>5</v>
      </c>
      <c r="H3" s="214">
        <v>6</v>
      </c>
      <c r="I3" s="106">
        <v>7</v>
      </c>
      <c r="J3" s="201"/>
      <c r="K3" s="211"/>
      <c r="L3" s="215">
        <v>2</v>
      </c>
      <c r="M3" s="215">
        <v>10</v>
      </c>
      <c r="N3" s="215">
        <v>18</v>
      </c>
      <c r="O3" s="215">
        <v>26</v>
      </c>
      <c r="P3" s="215">
        <v>34</v>
      </c>
      <c r="Q3" s="215">
        <v>42</v>
      </c>
      <c r="R3" s="215">
        <v>50</v>
      </c>
      <c r="S3" s="215">
        <v>58</v>
      </c>
      <c r="T3" s="216"/>
    </row>
    <row r="4" spans="1:20" ht="30.6" customHeight="1" x14ac:dyDescent="0.25">
      <c r="A4" s="214">
        <v>0</v>
      </c>
      <c r="B4" s="226">
        <v>38</v>
      </c>
      <c r="C4" s="231">
        <v>71</v>
      </c>
      <c r="D4" s="231">
        <v>96</v>
      </c>
      <c r="E4" s="236">
        <v>130</v>
      </c>
      <c r="F4" s="236">
        <v>164</v>
      </c>
      <c r="G4" s="241">
        <v>198</v>
      </c>
      <c r="H4" s="241">
        <v>229</v>
      </c>
      <c r="I4" s="241">
        <v>256</v>
      </c>
      <c r="J4" s="201"/>
      <c r="K4" s="211"/>
      <c r="L4" s="215">
        <v>3</v>
      </c>
      <c r="M4" s="215">
        <v>11</v>
      </c>
      <c r="N4" s="215">
        <v>19</v>
      </c>
      <c r="O4" s="215">
        <v>27</v>
      </c>
      <c r="P4" s="215">
        <v>35</v>
      </c>
      <c r="Q4" s="215">
        <v>43</v>
      </c>
      <c r="R4" s="215">
        <v>51</v>
      </c>
      <c r="S4" s="215">
        <v>59</v>
      </c>
      <c r="T4" s="216"/>
    </row>
    <row r="5" spans="1:20" ht="30.6" customHeight="1" x14ac:dyDescent="0.25">
      <c r="A5" s="214">
        <v>1</v>
      </c>
      <c r="B5" s="226">
        <v>30</v>
      </c>
      <c r="C5" s="231">
        <v>70</v>
      </c>
      <c r="D5" s="231">
        <v>95</v>
      </c>
      <c r="E5" s="236">
        <v>129</v>
      </c>
      <c r="F5" s="236">
        <v>163</v>
      </c>
      <c r="G5" s="241">
        <v>197</v>
      </c>
      <c r="H5" s="241">
        <v>228</v>
      </c>
      <c r="I5" s="241">
        <v>255</v>
      </c>
      <c r="J5" s="201"/>
      <c r="K5" s="211"/>
      <c r="L5" s="215">
        <v>4</v>
      </c>
      <c r="M5" s="215">
        <v>12</v>
      </c>
      <c r="N5" s="215">
        <v>20</v>
      </c>
      <c r="O5" s="215">
        <v>28</v>
      </c>
      <c r="P5" s="215">
        <v>36</v>
      </c>
      <c r="Q5" s="215">
        <v>44</v>
      </c>
      <c r="R5" s="215">
        <v>52</v>
      </c>
      <c r="S5" s="215">
        <v>60</v>
      </c>
      <c r="T5" s="216"/>
    </row>
    <row r="6" spans="1:20" ht="30.6" customHeight="1" x14ac:dyDescent="0.25">
      <c r="A6" s="214">
        <v>2</v>
      </c>
      <c r="B6" s="226">
        <v>29</v>
      </c>
      <c r="C6" s="226">
        <v>60</v>
      </c>
      <c r="D6" s="231">
        <v>94</v>
      </c>
      <c r="E6" s="231">
        <v>128</v>
      </c>
      <c r="F6" s="236">
        <v>162</v>
      </c>
      <c r="G6" s="241">
        <v>196</v>
      </c>
      <c r="H6" s="241">
        <v>220</v>
      </c>
      <c r="I6" s="241">
        <v>254</v>
      </c>
      <c r="J6" s="201"/>
      <c r="K6" s="211"/>
      <c r="L6" s="215">
        <v>5</v>
      </c>
      <c r="M6" s="215">
        <v>13</v>
      </c>
      <c r="N6" s="215">
        <v>21</v>
      </c>
      <c r="O6" s="215">
        <v>29</v>
      </c>
      <c r="P6" s="215">
        <v>37</v>
      </c>
      <c r="Q6" s="215">
        <v>45</v>
      </c>
      <c r="R6" s="215">
        <v>53</v>
      </c>
      <c r="S6" s="215">
        <v>61</v>
      </c>
      <c r="T6" s="216"/>
    </row>
    <row r="7" spans="1:20" ht="30.6" customHeight="1" x14ac:dyDescent="0.25">
      <c r="A7" s="214">
        <v>3</v>
      </c>
      <c r="B7" s="226">
        <v>28</v>
      </c>
      <c r="C7" s="226">
        <v>59</v>
      </c>
      <c r="D7" s="231">
        <v>93</v>
      </c>
      <c r="E7" s="231">
        <v>127</v>
      </c>
      <c r="F7" s="236">
        <v>161</v>
      </c>
      <c r="G7" s="236">
        <v>186</v>
      </c>
      <c r="H7" s="241">
        <v>219</v>
      </c>
      <c r="I7" s="241">
        <v>253</v>
      </c>
      <c r="J7" s="201"/>
      <c r="K7" s="211"/>
      <c r="L7" s="215">
        <v>6</v>
      </c>
      <c r="M7" s="215">
        <v>14</v>
      </c>
      <c r="N7" s="215">
        <v>22</v>
      </c>
      <c r="O7" s="215">
        <v>30</v>
      </c>
      <c r="P7" s="215">
        <v>38</v>
      </c>
      <c r="Q7" s="215">
        <v>46</v>
      </c>
      <c r="R7" s="215">
        <v>54</v>
      </c>
      <c r="S7" s="215">
        <v>62</v>
      </c>
      <c r="T7" s="216"/>
    </row>
    <row r="8" spans="1:20" ht="30.6" customHeight="1" x14ac:dyDescent="0.25">
      <c r="A8" s="214">
        <v>4</v>
      </c>
      <c r="B8" s="226">
        <v>27</v>
      </c>
      <c r="C8" s="226">
        <v>58</v>
      </c>
      <c r="D8" s="231">
        <v>92</v>
      </c>
      <c r="E8" s="231">
        <v>126</v>
      </c>
      <c r="F8" s="236">
        <v>160</v>
      </c>
      <c r="G8" s="236">
        <v>185</v>
      </c>
      <c r="H8" s="241">
        <v>218</v>
      </c>
      <c r="I8" s="241">
        <v>252</v>
      </c>
      <c r="J8" s="201"/>
      <c r="K8" s="211"/>
      <c r="L8" s="215">
        <v>7</v>
      </c>
      <c r="M8" s="215">
        <v>15</v>
      </c>
      <c r="N8" s="215">
        <v>23</v>
      </c>
      <c r="O8" s="215">
        <v>31</v>
      </c>
      <c r="P8" s="215">
        <v>39</v>
      </c>
      <c r="Q8" s="215">
        <v>47</v>
      </c>
      <c r="R8" s="215">
        <v>55</v>
      </c>
      <c r="S8" s="215">
        <v>63</v>
      </c>
      <c r="T8" s="216"/>
    </row>
    <row r="9" spans="1:20" ht="30.6" customHeight="1" x14ac:dyDescent="0.25">
      <c r="A9" s="214">
        <v>5</v>
      </c>
      <c r="B9" s="226">
        <v>26</v>
      </c>
      <c r="C9" s="226">
        <v>57</v>
      </c>
      <c r="D9" s="231">
        <v>91</v>
      </c>
      <c r="E9" s="231">
        <v>125</v>
      </c>
      <c r="F9" s="236">
        <v>150</v>
      </c>
      <c r="G9" s="236">
        <v>184</v>
      </c>
      <c r="H9" s="241">
        <v>217</v>
      </c>
      <c r="I9" s="241">
        <v>246</v>
      </c>
      <c r="J9" s="201"/>
      <c r="K9" s="211"/>
      <c r="L9" s="215">
        <v>8</v>
      </c>
      <c r="M9" s="215">
        <v>16</v>
      </c>
      <c r="N9" s="215">
        <v>24</v>
      </c>
      <c r="O9" s="215">
        <v>32</v>
      </c>
      <c r="P9" s="215">
        <v>40</v>
      </c>
      <c r="Q9" s="215">
        <v>48</v>
      </c>
      <c r="R9" s="215">
        <v>56</v>
      </c>
      <c r="S9" s="215">
        <v>64</v>
      </c>
      <c r="T9" s="216"/>
    </row>
    <row r="10" spans="1:20" ht="30.6" customHeight="1" x14ac:dyDescent="0.25">
      <c r="A10" s="214">
        <v>6</v>
      </c>
      <c r="B10" s="226">
        <v>25</v>
      </c>
      <c r="C10" s="226">
        <v>56</v>
      </c>
      <c r="D10" s="231">
        <v>90</v>
      </c>
      <c r="E10" s="231">
        <v>124</v>
      </c>
      <c r="F10" s="236">
        <v>149</v>
      </c>
      <c r="G10" s="236">
        <v>183</v>
      </c>
      <c r="H10" s="241">
        <v>216</v>
      </c>
      <c r="I10" s="241">
        <v>245</v>
      </c>
      <c r="J10" s="201"/>
      <c r="K10" s="211"/>
      <c r="L10" s="228" t="s">
        <v>938</v>
      </c>
      <c r="M10" s="228"/>
      <c r="N10" s="228"/>
      <c r="O10" s="228"/>
      <c r="P10" s="228"/>
      <c r="Q10" s="228"/>
      <c r="R10" s="228"/>
      <c r="S10" s="228"/>
      <c r="T10" s="216"/>
    </row>
    <row r="11" spans="1:20" ht="30.6" customHeight="1" x14ac:dyDescent="0.25">
      <c r="A11" s="214">
        <v>7</v>
      </c>
      <c r="B11" s="226">
        <v>18</v>
      </c>
      <c r="C11" s="226">
        <v>55</v>
      </c>
      <c r="D11" s="231">
        <v>89</v>
      </c>
      <c r="E11" s="231">
        <v>114</v>
      </c>
      <c r="F11" s="236">
        <v>148</v>
      </c>
      <c r="G11" s="236">
        <v>182</v>
      </c>
      <c r="H11" s="241">
        <v>215</v>
      </c>
      <c r="I11" s="241">
        <v>244</v>
      </c>
      <c r="J11" s="201"/>
      <c r="K11" s="211"/>
      <c r="L11" s="229">
        <v>65</v>
      </c>
      <c r="M11" s="229">
        <v>73</v>
      </c>
      <c r="N11" s="229">
        <v>81</v>
      </c>
      <c r="O11" s="229">
        <v>89</v>
      </c>
      <c r="P11" s="229">
        <v>97</v>
      </c>
      <c r="Q11" s="229">
        <v>105</v>
      </c>
      <c r="R11" s="229">
        <v>113</v>
      </c>
      <c r="S11" s="230">
        <v>121</v>
      </c>
      <c r="T11" s="216"/>
    </row>
    <row r="12" spans="1:20" ht="30.6" customHeight="1" x14ac:dyDescent="0.25">
      <c r="A12" s="217">
        <v>8</v>
      </c>
      <c r="B12" s="226">
        <v>17</v>
      </c>
      <c r="C12" s="227">
        <v>54</v>
      </c>
      <c r="D12" s="232">
        <v>88</v>
      </c>
      <c r="E12" s="231">
        <v>113</v>
      </c>
      <c r="F12" s="236">
        <v>147</v>
      </c>
      <c r="G12" s="236">
        <v>181</v>
      </c>
      <c r="H12" s="241">
        <v>214</v>
      </c>
      <c r="I12" s="241">
        <v>243</v>
      </c>
      <c r="J12" s="201"/>
      <c r="K12" s="211"/>
      <c r="L12" s="229">
        <v>66</v>
      </c>
      <c r="M12" s="229">
        <v>74</v>
      </c>
      <c r="N12" s="229">
        <v>82</v>
      </c>
      <c r="O12" s="229">
        <v>90</v>
      </c>
      <c r="P12" s="229">
        <v>98</v>
      </c>
      <c r="Q12" s="229">
        <v>106</v>
      </c>
      <c r="R12" s="229">
        <v>114</v>
      </c>
      <c r="S12" s="230">
        <v>122</v>
      </c>
      <c r="T12" s="216"/>
    </row>
    <row r="13" spans="1:20" ht="30.6" customHeight="1" x14ac:dyDescent="0.25">
      <c r="A13" s="217">
        <v>9</v>
      </c>
      <c r="B13" s="226">
        <v>16</v>
      </c>
      <c r="C13" s="227">
        <v>53</v>
      </c>
      <c r="D13" s="232">
        <v>78</v>
      </c>
      <c r="E13" s="231">
        <v>112</v>
      </c>
      <c r="F13" s="236">
        <v>146</v>
      </c>
      <c r="G13" s="236">
        <v>180</v>
      </c>
      <c r="H13" s="241">
        <v>213</v>
      </c>
      <c r="I13" s="241">
        <v>242</v>
      </c>
      <c r="J13" s="201"/>
      <c r="K13" s="211"/>
      <c r="L13" s="229">
        <v>67</v>
      </c>
      <c r="M13" s="229">
        <v>75</v>
      </c>
      <c r="N13" s="229">
        <v>83</v>
      </c>
      <c r="O13" s="229">
        <v>91</v>
      </c>
      <c r="P13" s="229">
        <v>99</v>
      </c>
      <c r="Q13" s="229">
        <v>107</v>
      </c>
      <c r="R13" s="229">
        <v>115</v>
      </c>
      <c r="S13" s="230">
        <v>123</v>
      </c>
      <c r="T13" s="216"/>
    </row>
    <row r="14" spans="1:20" ht="30.6" customHeight="1" x14ac:dyDescent="0.25">
      <c r="A14" s="217">
        <v>10</v>
      </c>
      <c r="B14" s="226">
        <v>15</v>
      </c>
      <c r="C14" s="227">
        <v>44</v>
      </c>
      <c r="D14" s="232">
        <v>77</v>
      </c>
      <c r="E14" s="233">
        <v>111</v>
      </c>
      <c r="F14" s="237">
        <v>145</v>
      </c>
      <c r="G14" s="237">
        <v>179</v>
      </c>
      <c r="H14" s="242">
        <v>204</v>
      </c>
      <c r="I14" s="242">
        <v>241</v>
      </c>
      <c r="J14" s="201"/>
      <c r="K14" s="211"/>
      <c r="L14" s="229">
        <v>68</v>
      </c>
      <c r="M14" s="229">
        <v>76</v>
      </c>
      <c r="N14" s="229">
        <v>84</v>
      </c>
      <c r="O14" s="229">
        <v>92</v>
      </c>
      <c r="P14" s="229">
        <v>100</v>
      </c>
      <c r="Q14" s="229">
        <v>108</v>
      </c>
      <c r="R14" s="229">
        <v>116</v>
      </c>
      <c r="S14" s="230">
        <v>124</v>
      </c>
      <c r="T14" s="218"/>
    </row>
    <row r="15" spans="1:20" ht="30.6" customHeight="1" x14ac:dyDescent="0.25">
      <c r="A15" s="217">
        <v>11</v>
      </c>
      <c r="B15" s="226">
        <v>14</v>
      </c>
      <c r="C15" s="227">
        <v>43</v>
      </c>
      <c r="D15" s="232">
        <v>76</v>
      </c>
      <c r="E15" s="233">
        <v>110</v>
      </c>
      <c r="F15" s="237">
        <v>144</v>
      </c>
      <c r="G15" s="237">
        <v>178</v>
      </c>
      <c r="H15" s="242">
        <v>203</v>
      </c>
      <c r="I15" s="242">
        <v>234</v>
      </c>
      <c r="J15" s="201"/>
      <c r="K15" s="211"/>
      <c r="L15" s="229">
        <v>69</v>
      </c>
      <c r="M15" s="229">
        <v>77</v>
      </c>
      <c r="N15" s="229">
        <v>85</v>
      </c>
      <c r="O15" s="229">
        <v>93</v>
      </c>
      <c r="P15" s="229">
        <v>101</v>
      </c>
      <c r="Q15" s="229">
        <v>109</v>
      </c>
      <c r="R15" s="229">
        <v>117</v>
      </c>
      <c r="S15" s="230">
        <v>125</v>
      </c>
      <c r="T15" s="218"/>
    </row>
    <row r="16" spans="1:20" ht="30.6" customHeight="1" x14ac:dyDescent="0.25">
      <c r="A16" s="217">
        <v>12</v>
      </c>
      <c r="B16" s="226">
        <v>8</v>
      </c>
      <c r="C16" s="227">
        <v>42</v>
      </c>
      <c r="D16" s="232">
        <v>75</v>
      </c>
      <c r="E16" s="233">
        <v>109</v>
      </c>
      <c r="F16" s="237">
        <v>143</v>
      </c>
      <c r="G16" s="237">
        <v>168</v>
      </c>
      <c r="H16" s="242">
        <v>202</v>
      </c>
      <c r="I16" s="242">
        <v>233</v>
      </c>
      <c r="J16" s="201"/>
      <c r="K16" s="211"/>
      <c r="L16" s="229">
        <v>70</v>
      </c>
      <c r="M16" s="229">
        <v>78</v>
      </c>
      <c r="N16" s="229">
        <v>86</v>
      </c>
      <c r="O16" s="229">
        <v>94</v>
      </c>
      <c r="P16" s="229">
        <v>102</v>
      </c>
      <c r="Q16" s="229">
        <v>110</v>
      </c>
      <c r="R16" s="229">
        <v>118</v>
      </c>
      <c r="S16" s="230">
        <v>126</v>
      </c>
      <c r="T16" s="218"/>
    </row>
    <row r="17" spans="1:20" ht="30.6" customHeight="1" x14ac:dyDescent="0.25">
      <c r="A17" s="217">
        <v>13</v>
      </c>
      <c r="B17" s="226">
        <v>7</v>
      </c>
      <c r="C17" s="227">
        <v>41</v>
      </c>
      <c r="D17" s="232">
        <v>74</v>
      </c>
      <c r="E17" s="233">
        <v>108</v>
      </c>
      <c r="F17" s="237">
        <v>142</v>
      </c>
      <c r="G17" s="237">
        <v>167</v>
      </c>
      <c r="H17" s="242">
        <v>201</v>
      </c>
      <c r="I17" s="242">
        <v>232</v>
      </c>
      <c r="J17" s="201"/>
      <c r="K17" s="211"/>
      <c r="L17" s="229">
        <v>71</v>
      </c>
      <c r="M17" s="229">
        <v>79</v>
      </c>
      <c r="N17" s="229">
        <v>87</v>
      </c>
      <c r="O17" s="229">
        <v>95</v>
      </c>
      <c r="P17" s="229">
        <v>103</v>
      </c>
      <c r="Q17" s="229">
        <v>111</v>
      </c>
      <c r="R17" s="230">
        <v>119</v>
      </c>
      <c r="S17" s="230">
        <v>127</v>
      </c>
      <c r="T17" s="219"/>
    </row>
    <row r="18" spans="1:20" ht="30.6" customHeight="1" x14ac:dyDescent="0.25">
      <c r="A18" s="217">
        <v>14</v>
      </c>
      <c r="B18" s="226">
        <v>6</v>
      </c>
      <c r="C18" s="227">
        <v>40</v>
      </c>
      <c r="D18" s="232">
        <v>73</v>
      </c>
      <c r="E18" s="233">
        <v>107</v>
      </c>
      <c r="F18" s="237">
        <v>132</v>
      </c>
      <c r="G18" s="237">
        <v>166</v>
      </c>
      <c r="H18" s="242">
        <v>200</v>
      </c>
      <c r="I18" s="242">
        <v>231</v>
      </c>
      <c r="J18" s="201"/>
      <c r="K18" s="211"/>
      <c r="L18" s="229">
        <v>72</v>
      </c>
      <c r="M18" s="229">
        <v>80</v>
      </c>
      <c r="N18" s="229">
        <v>88</v>
      </c>
      <c r="O18" s="229">
        <v>96</v>
      </c>
      <c r="P18" s="229">
        <v>104</v>
      </c>
      <c r="Q18" s="229">
        <v>112</v>
      </c>
      <c r="R18" s="230">
        <v>120</v>
      </c>
      <c r="S18" s="230">
        <v>128</v>
      </c>
      <c r="T18" s="211"/>
    </row>
    <row r="19" spans="1:20" ht="30.6" customHeight="1" x14ac:dyDescent="0.25">
      <c r="A19" s="217">
        <v>15</v>
      </c>
      <c r="B19" s="226">
        <v>5</v>
      </c>
      <c r="C19" s="227">
        <v>39</v>
      </c>
      <c r="D19" s="232">
        <v>72</v>
      </c>
      <c r="E19" s="233">
        <v>106</v>
      </c>
      <c r="F19" s="237">
        <v>131</v>
      </c>
      <c r="G19" s="237">
        <v>165</v>
      </c>
      <c r="H19" s="242">
        <v>199</v>
      </c>
      <c r="I19" s="242">
        <v>230</v>
      </c>
      <c r="J19" s="201"/>
      <c r="K19" s="211"/>
      <c r="L19" s="234" t="s">
        <v>939</v>
      </c>
      <c r="M19" s="234"/>
      <c r="N19" s="234"/>
      <c r="O19" s="234"/>
      <c r="P19" s="234"/>
      <c r="Q19" s="234"/>
      <c r="R19" s="234"/>
      <c r="S19" s="234"/>
      <c r="T19" s="216"/>
    </row>
    <row r="20" spans="1:20" ht="30.6" customHeight="1" x14ac:dyDescent="0.25">
      <c r="A20" s="220"/>
      <c r="B20" s="220"/>
      <c r="C20" s="221"/>
      <c r="D20" s="220"/>
      <c r="E20" s="214"/>
      <c r="F20" s="214"/>
      <c r="G20" s="214"/>
      <c r="H20" s="214"/>
      <c r="J20" s="201"/>
      <c r="K20" s="211"/>
      <c r="L20" s="235">
        <v>129</v>
      </c>
      <c r="M20" s="235">
        <v>137</v>
      </c>
      <c r="N20" s="235">
        <v>145</v>
      </c>
      <c r="O20" s="235">
        <v>153</v>
      </c>
      <c r="P20" s="235">
        <v>161</v>
      </c>
      <c r="Q20" s="235">
        <v>169</v>
      </c>
      <c r="R20" s="235">
        <v>177</v>
      </c>
      <c r="S20" s="235">
        <v>185</v>
      </c>
      <c r="T20" s="216"/>
    </row>
    <row r="21" spans="1:20" ht="30.6" customHeight="1" x14ac:dyDescent="0.25">
      <c r="A21" s="220"/>
      <c r="B21" s="220"/>
      <c r="C21" s="202" t="s">
        <v>942</v>
      </c>
      <c r="D21" s="202"/>
      <c r="E21" s="202"/>
      <c r="F21" s="202"/>
      <c r="G21" s="202"/>
      <c r="H21" s="202"/>
      <c r="J21" s="201"/>
      <c r="K21" s="211"/>
      <c r="L21" s="235">
        <v>130</v>
      </c>
      <c r="M21" s="235">
        <v>138</v>
      </c>
      <c r="N21" s="235">
        <v>146</v>
      </c>
      <c r="O21" s="235">
        <v>154</v>
      </c>
      <c r="P21" s="235">
        <v>162</v>
      </c>
      <c r="Q21" s="235">
        <v>170</v>
      </c>
      <c r="R21" s="235">
        <v>178</v>
      </c>
      <c r="S21" s="235">
        <v>186</v>
      </c>
      <c r="T21" s="216"/>
    </row>
    <row r="22" spans="1:20" ht="30.6" customHeight="1" x14ac:dyDescent="0.25">
      <c r="B22" s="106">
        <v>0</v>
      </c>
      <c r="C22" s="106">
        <v>1</v>
      </c>
      <c r="D22" s="106">
        <v>2</v>
      </c>
      <c r="E22" s="106">
        <v>3</v>
      </c>
      <c r="F22" s="106">
        <v>4</v>
      </c>
      <c r="G22" s="106">
        <v>5</v>
      </c>
      <c r="H22" s="106">
        <v>6</v>
      </c>
      <c r="I22" s="106">
        <v>7</v>
      </c>
      <c r="J22" s="201"/>
      <c r="K22" s="211"/>
      <c r="L22" s="235">
        <v>131</v>
      </c>
      <c r="M22" s="235">
        <v>139</v>
      </c>
      <c r="N22" s="235">
        <v>147</v>
      </c>
      <c r="O22" s="235">
        <v>155</v>
      </c>
      <c r="P22" s="235">
        <v>163</v>
      </c>
      <c r="Q22" s="235">
        <v>171</v>
      </c>
      <c r="R22" s="235">
        <v>179</v>
      </c>
      <c r="S22" s="235">
        <v>187</v>
      </c>
      <c r="T22" s="216"/>
    </row>
    <row r="23" spans="1:20" ht="30.6" customHeight="1" x14ac:dyDescent="0.25">
      <c r="A23" s="106">
        <v>0</v>
      </c>
      <c r="B23" s="226">
        <v>31</v>
      </c>
      <c r="C23" s="226">
        <v>62</v>
      </c>
      <c r="D23" s="231">
        <v>87</v>
      </c>
      <c r="E23" s="231">
        <v>121</v>
      </c>
      <c r="F23" s="236">
        <v>155</v>
      </c>
      <c r="G23" s="236">
        <v>189</v>
      </c>
      <c r="H23" s="241">
        <v>222</v>
      </c>
      <c r="I23" s="241">
        <v>251</v>
      </c>
      <c r="J23" s="222"/>
      <c r="K23" s="211"/>
      <c r="L23" s="235">
        <v>132</v>
      </c>
      <c r="M23" s="235">
        <v>140</v>
      </c>
      <c r="N23" s="235">
        <v>148</v>
      </c>
      <c r="O23" s="235">
        <v>156</v>
      </c>
      <c r="P23" s="235">
        <v>164</v>
      </c>
      <c r="Q23" s="235">
        <v>172</v>
      </c>
      <c r="R23" s="235">
        <v>180</v>
      </c>
      <c r="S23" s="235">
        <v>188</v>
      </c>
      <c r="T23" s="216"/>
    </row>
    <row r="24" spans="1:20" ht="30.6" customHeight="1" x14ac:dyDescent="0.25">
      <c r="A24" s="106">
        <v>1</v>
      </c>
      <c r="B24" s="226">
        <v>24</v>
      </c>
      <c r="C24" s="226">
        <v>61</v>
      </c>
      <c r="D24" s="231">
        <v>86</v>
      </c>
      <c r="E24" s="231">
        <v>120</v>
      </c>
      <c r="F24" s="236">
        <v>154</v>
      </c>
      <c r="G24" s="236">
        <v>188</v>
      </c>
      <c r="H24" s="241">
        <v>221</v>
      </c>
      <c r="I24" s="241">
        <v>250</v>
      </c>
      <c r="J24" s="222"/>
      <c r="K24" s="211"/>
      <c r="L24" s="235">
        <v>133</v>
      </c>
      <c r="M24" s="235">
        <v>141</v>
      </c>
      <c r="N24" s="235">
        <v>149</v>
      </c>
      <c r="O24" s="235">
        <v>157</v>
      </c>
      <c r="P24" s="235">
        <v>165</v>
      </c>
      <c r="Q24" s="235">
        <v>173</v>
      </c>
      <c r="R24" s="235">
        <v>181</v>
      </c>
      <c r="S24" s="235">
        <v>189</v>
      </c>
      <c r="T24" s="216"/>
    </row>
    <row r="25" spans="1:20" ht="30.6" customHeight="1" x14ac:dyDescent="0.25">
      <c r="A25" s="106">
        <v>2</v>
      </c>
      <c r="B25" s="226">
        <v>23</v>
      </c>
      <c r="C25" s="226">
        <v>52</v>
      </c>
      <c r="D25" s="231">
        <v>85</v>
      </c>
      <c r="E25" s="231">
        <v>119</v>
      </c>
      <c r="F25" s="236">
        <v>153</v>
      </c>
      <c r="G25" s="236">
        <v>187</v>
      </c>
      <c r="H25" s="241">
        <v>212</v>
      </c>
      <c r="I25" s="241">
        <v>249</v>
      </c>
      <c r="J25" s="222"/>
      <c r="K25" s="211"/>
      <c r="L25" s="235">
        <v>134</v>
      </c>
      <c r="M25" s="235">
        <v>142</v>
      </c>
      <c r="N25" s="235">
        <v>150</v>
      </c>
      <c r="O25" s="235">
        <v>158</v>
      </c>
      <c r="P25" s="235">
        <v>166</v>
      </c>
      <c r="Q25" s="235">
        <v>174</v>
      </c>
      <c r="R25" s="235">
        <v>182</v>
      </c>
      <c r="S25" s="235">
        <v>190</v>
      </c>
      <c r="T25" s="216"/>
    </row>
    <row r="26" spans="1:20" ht="30.6" customHeight="1" x14ac:dyDescent="0.25">
      <c r="A26" s="106">
        <v>3</v>
      </c>
      <c r="B26" s="226">
        <v>22</v>
      </c>
      <c r="C26" s="226">
        <v>51</v>
      </c>
      <c r="D26" s="231">
        <v>84</v>
      </c>
      <c r="E26" s="231">
        <v>118</v>
      </c>
      <c r="F26" s="236">
        <v>152</v>
      </c>
      <c r="G26" s="236">
        <v>177</v>
      </c>
      <c r="H26" s="241">
        <v>211</v>
      </c>
      <c r="I26" s="241">
        <v>248</v>
      </c>
      <c r="J26" s="222"/>
      <c r="K26" s="211"/>
      <c r="L26" s="235">
        <v>135</v>
      </c>
      <c r="M26" s="235">
        <v>143</v>
      </c>
      <c r="N26" s="235">
        <v>151</v>
      </c>
      <c r="O26" s="235">
        <v>159</v>
      </c>
      <c r="P26" s="235">
        <v>167</v>
      </c>
      <c r="Q26" s="235">
        <v>175</v>
      </c>
      <c r="R26" s="235">
        <v>183</v>
      </c>
      <c r="S26" s="235">
        <v>191</v>
      </c>
      <c r="T26" s="216"/>
    </row>
    <row r="27" spans="1:20" ht="30.6" customHeight="1" x14ac:dyDescent="0.25">
      <c r="A27" s="106">
        <v>4</v>
      </c>
      <c r="B27" s="226">
        <v>21</v>
      </c>
      <c r="C27" s="226">
        <v>50</v>
      </c>
      <c r="D27" s="231">
        <v>83</v>
      </c>
      <c r="E27" s="231">
        <v>117</v>
      </c>
      <c r="F27" s="236">
        <v>151</v>
      </c>
      <c r="G27" s="236">
        <v>176</v>
      </c>
      <c r="H27" s="241">
        <v>210</v>
      </c>
      <c r="I27" s="241">
        <v>247</v>
      </c>
      <c r="J27" s="222"/>
      <c r="K27" s="211"/>
      <c r="L27" s="235">
        <v>136</v>
      </c>
      <c r="M27" s="235">
        <v>144</v>
      </c>
      <c r="N27" s="235">
        <v>152</v>
      </c>
      <c r="O27" s="235">
        <v>160</v>
      </c>
      <c r="P27" s="235">
        <v>168</v>
      </c>
      <c r="Q27" s="235">
        <v>176</v>
      </c>
      <c r="R27" s="235">
        <v>184</v>
      </c>
      <c r="S27" s="235">
        <v>192</v>
      </c>
      <c r="T27" s="216"/>
    </row>
    <row r="28" spans="1:20" ht="30.6" customHeight="1" x14ac:dyDescent="0.25">
      <c r="A28" s="106">
        <v>5</v>
      </c>
      <c r="B28" s="226">
        <v>20</v>
      </c>
      <c r="C28" s="226">
        <v>49</v>
      </c>
      <c r="D28" s="231">
        <v>82</v>
      </c>
      <c r="E28" s="231">
        <v>116</v>
      </c>
      <c r="F28" s="236">
        <v>141</v>
      </c>
      <c r="G28" s="236">
        <v>175</v>
      </c>
      <c r="H28" s="241">
        <v>209</v>
      </c>
      <c r="I28" s="241">
        <v>240</v>
      </c>
      <c r="J28" s="222"/>
      <c r="K28" s="211"/>
      <c r="L28" s="238" t="s">
        <v>940</v>
      </c>
      <c r="M28" s="238"/>
      <c r="N28" s="238"/>
      <c r="O28" s="238"/>
      <c r="P28" s="238"/>
      <c r="Q28" s="238"/>
      <c r="R28" s="238"/>
      <c r="S28" s="238"/>
      <c r="T28" s="216"/>
    </row>
    <row r="29" spans="1:20" ht="30.6" customHeight="1" x14ac:dyDescent="0.25">
      <c r="A29" s="106">
        <v>6</v>
      </c>
      <c r="B29" s="226">
        <v>19</v>
      </c>
      <c r="C29" s="226">
        <v>48</v>
      </c>
      <c r="D29" s="231">
        <v>81</v>
      </c>
      <c r="E29" s="231">
        <v>115</v>
      </c>
      <c r="F29" s="236">
        <v>140</v>
      </c>
      <c r="G29" s="236">
        <v>174</v>
      </c>
      <c r="H29" s="241">
        <v>208</v>
      </c>
      <c r="I29" s="241">
        <v>239</v>
      </c>
      <c r="J29" s="222"/>
      <c r="K29" s="211"/>
      <c r="L29" s="239">
        <v>193</v>
      </c>
      <c r="M29" s="239">
        <v>201</v>
      </c>
      <c r="N29" s="239">
        <v>209</v>
      </c>
      <c r="O29" s="239">
        <v>217</v>
      </c>
      <c r="P29" s="239">
        <v>225</v>
      </c>
      <c r="Q29" s="239">
        <v>233</v>
      </c>
      <c r="R29" s="239">
        <v>241</v>
      </c>
      <c r="S29" s="240">
        <v>249</v>
      </c>
      <c r="T29" s="216"/>
    </row>
    <row r="30" spans="1:20" ht="30.6" customHeight="1" x14ac:dyDescent="0.25">
      <c r="A30" s="106">
        <v>7</v>
      </c>
      <c r="B30" s="226">
        <v>13</v>
      </c>
      <c r="C30" s="226">
        <v>47</v>
      </c>
      <c r="D30" s="231">
        <v>80</v>
      </c>
      <c r="E30" s="231">
        <v>105</v>
      </c>
      <c r="F30" s="236">
        <v>139</v>
      </c>
      <c r="G30" s="236">
        <v>173</v>
      </c>
      <c r="H30" s="241">
        <v>207</v>
      </c>
      <c r="I30" s="241">
        <v>238</v>
      </c>
      <c r="J30" s="222"/>
      <c r="K30" s="211"/>
      <c r="L30" s="239">
        <v>194</v>
      </c>
      <c r="M30" s="239">
        <v>202</v>
      </c>
      <c r="N30" s="239">
        <v>210</v>
      </c>
      <c r="O30" s="239">
        <v>218</v>
      </c>
      <c r="P30" s="239">
        <v>226</v>
      </c>
      <c r="Q30" s="239">
        <v>234</v>
      </c>
      <c r="R30" s="239">
        <v>242</v>
      </c>
      <c r="S30" s="240">
        <v>250</v>
      </c>
      <c r="T30" s="216"/>
    </row>
    <row r="31" spans="1:20" ht="30.6" customHeight="1" x14ac:dyDescent="0.25">
      <c r="A31" s="223">
        <v>8</v>
      </c>
      <c r="B31" s="226">
        <v>12</v>
      </c>
      <c r="C31" s="227">
        <v>46</v>
      </c>
      <c r="D31" s="232">
        <v>79</v>
      </c>
      <c r="E31" s="231">
        <v>104</v>
      </c>
      <c r="F31" s="236">
        <v>138</v>
      </c>
      <c r="G31" s="236">
        <v>172</v>
      </c>
      <c r="H31" s="241">
        <v>206</v>
      </c>
      <c r="I31" s="241">
        <v>237</v>
      </c>
      <c r="J31" s="201"/>
      <c r="K31" s="211"/>
      <c r="L31" s="239">
        <v>195</v>
      </c>
      <c r="M31" s="239">
        <v>203</v>
      </c>
      <c r="N31" s="239">
        <v>211</v>
      </c>
      <c r="O31" s="239">
        <v>219</v>
      </c>
      <c r="P31" s="239">
        <v>227</v>
      </c>
      <c r="Q31" s="239">
        <v>235</v>
      </c>
      <c r="R31" s="239">
        <v>243</v>
      </c>
      <c r="S31" s="240">
        <v>251</v>
      </c>
      <c r="T31" s="216"/>
    </row>
    <row r="32" spans="1:20" ht="30.6" customHeight="1" x14ac:dyDescent="0.25">
      <c r="A32" s="223">
        <v>9</v>
      </c>
      <c r="B32" s="226">
        <v>11</v>
      </c>
      <c r="C32" s="227">
        <v>45</v>
      </c>
      <c r="D32" s="232">
        <v>69</v>
      </c>
      <c r="E32" s="231">
        <v>103</v>
      </c>
      <c r="F32" s="236">
        <v>137</v>
      </c>
      <c r="G32" s="236">
        <v>171</v>
      </c>
      <c r="H32" s="241">
        <v>205</v>
      </c>
      <c r="I32" s="241">
        <v>236</v>
      </c>
      <c r="J32" s="201"/>
      <c r="K32" s="211"/>
      <c r="L32" s="239">
        <v>196</v>
      </c>
      <c r="M32" s="239">
        <v>204</v>
      </c>
      <c r="N32" s="239">
        <v>212</v>
      </c>
      <c r="O32" s="239">
        <v>220</v>
      </c>
      <c r="P32" s="239">
        <v>228</v>
      </c>
      <c r="Q32" s="239">
        <v>236</v>
      </c>
      <c r="R32" s="239">
        <v>244</v>
      </c>
      <c r="S32" s="240">
        <v>252</v>
      </c>
      <c r="T32" s="216"/>
    </row>
    <row r="33" spans="1:20" ht="30.6" customHeight="1" x14ac:dyDescent="0.25">
      <c r="A33" s="223">
        <v>10</v>
      </c>
      <c r="B33" s="226">
        <v>10</v>
      </c>
      <c r="C33" s="227">
        <v>37</v>
      </c>
      <c r="D33" s="232">
        <v>68</v>
      </c>
      <c r="E33" s="233">
        <v>102</v>
      </c>
      <c r="F33" s="237">
        <v>136</v>
      </c>
      <c r="G33" s="237">
        <v>170</v>
      </c>
      <c r="H33" s="242">
        <v>195</v>
      </c>
      <c r="I33" s="242">
        <v>235</v>
      </c>
      <c r="J33" s="222"/>
      <c r="K33" s="211"/>
      <c r="L33" s="239">
        <v>197</v>
      </c>
      <c r="M33" s="239">
        <v>205</v>
      </c>
      <c r="N33" s="239">
        <v>213</v>
      </c>
      <c r="O33" s="239">
        <v>221</v>
      </c>
      <c r="P33" s="239">
        <v>229</v>
      </c>
      <c r="Q33" s="239">
        <v>237</v>
      </c>
      <c r="R33" s="239">
        <v>245</v>
      </c>
      <c r="S33" s="240">
        <v>253</v>
      </c>
      <c r="T33" s="216"/>
    </row>
    <row r="34" spans="1:20" ht="30.6" customHeight="1" x14ac:dyDescent="0.25">
      <c r="A34" s="223">
        <v>11</v>
      </c>
      <c r="B34" s="226">
        <v>9</v>
      </c>
      <c r="C34" s="227">
        <v>36</v>
      </c>
      <c r="D34" s="232">
        <v>67</v>
      </c>
      <c r="E34" s="233">
        <v>101</v>
      </c>
      <c r="F34" s="237">
        <v>135</v>
      </c>
      <c r="G34" s="237">
        <v>169</v>
      </c>
      <c r="H34" s="242">
        <v>194</v>
      </c>
      <c r="I34" s="242">
        <v>227</v>
      </c>
      <c r="J34" s="222"/>
      <c r="K34" s="211"/>
      <c r="L34" s="239">
        <v>198</v>
      </c>
      <c r="M34" s="239">
        <v>206</v>
      </c>
      <c r="N34" s="239">
        <v>214</v>
      </c>
      <c r="O34" s="239">
        <v>222</v>
      </c>
      <c r="P34" s="239">
        <v>230</v>
      </c>
      <c r="Q34" s="239">
        <v>238</v>
      </c>
      <c r="R34" s="239">
        <v>246</v>
      </c>
      <c r="S34" s="240">
        <v>254</v>
      </c>
      <c r="T34" s="216"/>
    </row>
    <row r="35" spans="1:20" ht="30.6" customHeight="1" x14ac:dyDescent="0.25">
      <c r="A35" s="223">
        <v>12</v>
      </c>
      <c r="B35" s="226">
        <v>4</v>
      </c>
      <c r="C35" s="227">
        <v>35</v>
      </c>
      <c r="D35" s="232">
        <v>66</v>
      </c>
      <c r="E35" s="233">
        <v>100</v>
      </c>
      <c r="F35" s="237">
        <v>134</v>
      </c>
      <c r="G35" s="237">
        <v>159</v>
      </c>
      <c r="H35" s="242">
        <v>193</v>
      </c>
      <c r="I35" s="242">
        <v>226</v>
      </c>
      <c r="J35" s="222"/>
      <c r="K35" s="211"/>
      <c r="L35" s="239">
        <v>199</v>
      </c>
      <c r="M35" s="239">
        <v>207</v>
      </c>
      <c r="N35" s="239">
        <v>215</v>
      </c>
      <c r="O35" s="239">
        <v>223</v>
      </c>
      <c r="P35" s="239">
        <v>231</v>
      </c>
      <c r="Q35" s="239">
        <v>239</v>
      </c>
      <c r="R35" s="240">
        <v>247</v>
      </c>
      <c r="S35" s="240">
        <v>255</v>
      </c>
      <c r="T35" s="216"/>
    </row>
    <row r="36" spans="1:20" ht="30.6" customHeight="1" x14ac:dyDescent="0.25">
      <c r="A36" s="223">
        <v>13</v>
      </c>
      <c r="B36" s="226">
        <v>3</v>
      </c>
      <c r="C36" s="227">
        <v>34</v>
      </c>
      <c r="D36" s="232">
        <v>65</v>
      </c>
      <c r="E36" s="233">
        <v>99</v>
      </c>
      <c r="F36" s="237">
        <v>133</v>
      </c>
      <c r="G36" s="237">
        <v>158</v>
      </c>
      <c r="H36" s="237">
        <v>192</v>
      </c>
      <c r="I36" s="242">
        <v>225</v>
      </c>
      <c r="J36" s="222"/>
      <c r="K36" s="211"/>
      <c r="L36" s="239">
        <v>200</v>
      </c>
      <c r="M36" s="239">
        <v>208</v>
      </c>
      <c r="N36" s="239">
        <v>216</v>
      </c>
      <c r="O36" s="239">
        <v>224</v>
      </c>
      <c r="P36" s="239">
        <v>232</v>
      </c>
      <c r="Q36" s="239">
        <v>240</v>
      </c>
      <c r="R36" s="240">
        <v>248</v>
      </c>
      <c r="S36" s="240">
        <v>256</v>
      </c>
      <c r="T36" s="216"/>
    </row>
    <row r="37" spans="1:20" ht="30.6" customHeight="1" x14ac:dyDescent="0.25">
      <c r="A37" s="223">
        <v>14</v>
      </c>
      <c r="B37" s="226">
        <v>2</v>
      </c>
      <c r="C37" s="227">
        <v>33</v>
      </c>
      <c r="D37" s="227">
        <v>64</v>
      </c>
      <c r="E37" s="233">
        <v>98</v>
      </c>
      <c r="F37" s="233">
        <v>123</v>
      </c>
      <c r="G37" s="237">
        <v>157</v>
      </c>
      <c r="H37" s="237">
        <v>191</v>
      </c>
      <c r="I37" s="242">
        <v>224</v>
      </c>
      <c r="J37" s="222"/>
      <c r="K37" s="211"/>
      <c r="L37" s="216"/>
      <c r="M37" s="216"/>
      <c r="N37" s="216"/>
      <c r="O37" s="216"/>
      <c r="P37" s="216"/>
      <c r="Q37" s="216"/>
      <c r="R37" s="216"/>
      <c r="S37" s="216"/>
      <c r="T37" s="216"/>
    </row>
    <row r="38" spans="1:20" ht="30.6" customHeight="1" x14ac:dyDescent="0.25">
      <c r="A38" s="223">
        <v>15</v>
      </c>
      <c r="B38" s="226">
        <v>1</v>
      </c>
      <c r="C38" s="227">
        <v>32</v>
      </c>
      <c r="D38" s="227">
        <v>63</v>
      </c>
      <c r="E38" s="233">
        <v>97</v>
      </c>
      <c r="F38" s="233">
        <v>122</v>
      </c>
      <c r="G38" s="237">
        <v>156</v>
      </c>
      <c r="H38" s="237">
        <v>190</v>
      </c>
      <c r="I38" s="242">
        <v>223</v>
      </c>
      <c r="J38" s="222"/>
    </row>
    <row r="39" spans="1:20" ht="30.6" customHeight="1" x14ac:dyDescent="0.25">
      <c r="A39" s="223"/>
      <c r="C39" s="224"/>
      <c r="D39" s="224"/>
      <c r="E39" s="225"/>
      <c r="F39" s="225"/>
      <c r="G39" s="225"/>
      <c r="H39" s="225"/>
      <c r="I39" s="225"/>
      <c r="J39" s="225"/>
    </row>
    <row r="41" spans="1:20" ht="30.6" customHeight="1" x14ac:dyDescent="0.25">
      <c r="A41" s="224"/>
      <c r="B41" s="224"/>
    </row>
  </sheetData>
  <mergeCells count="6">
    <mergeCell ref="L10:S10"/>
    <mergeCell ref="L19:S19"/>
    <mergeCell ref="L28:S28"/>
    <mergeCell ref="C21:H21"/>
    <mergeCell ref="C2:H2"/>
    <mergeCell ref="N1:Q1"/>
  </mergeCells>
  <pageMargins left="0.5" right="0.43" top="0.42" bottom="0.6" header="0" footer="0"/>
  <pageSetup scale="60" fitToHeight="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D29E6-EE2A-4B0F-B53A-160D9446FAD7}">
  <dimension ref="A1:J39"/>
  <sheetViews>
    <sheetView workbookViewId="0">
      <selection activeCell="M11" sqref="M11"/>
    </sheetView>
  </sheetViews>
  <sheetFormatPr defaultRowHeight="13.2" x14ac:dyDescent="0.25"/>
  <sheetData>
    <row r="1" spans="1:10" x14ac:dyDescent="0.25">
      <c r="A1" s="31"/>
      <c r="B1" s="31"/>
      <c r="C1" s="31"/>
      <c r="D1" s="31"/>
      <c r="E1" s="31"/>
      <c r="F1" s="31"/>
      <c r="G1" s="31"/>
      <c r="H1" s="31"/>
      <c r="I1" s="31"/>
      <c r="J1" s="31"/>
    </row>
    <row r="2" spans="1:10" ht="15.6" x14ac:dyDescent="0.25">
      <c r="A2" s="31"/>
      <c r="B2" s="31"/>
      <c r="C2" s="202" t="s">
        <v>934</v>
      </c>
      <c r="D2" s="202"/>
      <c r="E2" s="202"/>
      <c r="F2" s="202"/>
      <c r="G2" s="202"/>
      <c r="H2" s="202"/>
      <c r="I2" s="203"/>
      <c r="J2" s="203"/>
    </row>
    <row r="3" spans="1:10" x14ac:dyDescent="0.25">
      <c r="A3" s="31"/>
      <c r="B3" s="31">
        <v>0</v>
      </c>
      <c r="C3" s="203">
        <v>1</v>
      </c>
      <c r="D3" s="203">
        <v>2</v>
      </c>
      <c r="E3" s="203">
        <v>3</v>
      </c>
      <c r="F3" s="203">
        <v>4</v>
      </c>
      <c r="G3" s="203">
        <v>5</v>
      </c>
      <c r="H3" s="203">
        <v>6</v>
      </c>
      <c r="I3" s="203">
        <v>7</v>
      </c>
      <c r="J3" s="203"/>
    </row>
    <row r="4" spans="1:10" x14ac:dyDescent="0.25">
      <c r="A4" s="31">
        <v>0</v>
      </c>
      <c r="B4" s="104" t="s">
        <v>869</v>
      </c>
      <c r="C4" s="204" t="s">
        <v>25</v>
      </c>
      <c r="D4" s="204" t="s">
        <v>197</v>
      </c>
      <c r="E4" s="204" t="s">
        <v>142</v>
      </c>
      <c r="F4" s="204" t="s">
        <v>101</v>
      </c>
      <c r="G4" s="204" t="s">
        <v>66</v>
      </c>
      <c r="H4" s="204" t="s">
        <v>895</v>
      </c>
      <c r="I4" s="205" t="s">
        <v>137</v>
      </c>
      <c r="J4" s="206"/>
    </row>
    <row r="5" spans="1:10" x14ac:dyDescent="0.25">
      <c r="A5" s="31">
        <v>1</v>
      </c>
      <c r="B5" s="104" t="s">
        <v>40</v>
      </c>
      <c r="C5" s="204" t="s">
        <v>873</v>
      </c>
      <c r="D5" s="204" t="s">
        <v>176</v>
      </c>
      <c r="E5" s="204" t="s">
        <v>114</v>
      </c>
      <c r="F5" s="204" t="s">
        <v>80</v>
      </c>
      <c r="G5" s="204" t="s">
        <v>931</v>
      </c>
      <c r="H5" s="204" t="s">
        <v>883</v>
      </c>
      <c r="I5" s="205" t="s">
        <v>102</v>
      </c>
      <c r="J5" s="207"/>
    </row>
    <row r="6" spans="1:10" x14ac:dyDescent="0.25">
      <c r="A6" s="31">
        <v>2</v>
      </c>
      <c r="B6" s="104" t="s">
        <v>37</v>
      </c>
      <c r="C6" s="204" t="s">
        <v>45</v>
      </c>
      <c r="D6" s="204" t="s">
        <v>155</v>
      </c>
      <c r="E6" s="204" t="s">
        <v>86</v>
      </c>
      <c r="F6" s="204" t="s">
        <v>52</v>
      </c>
      <c r="G6" s="204" t="s">
        <v>930</v>
      </c>
      <c r="H6" s="204" t="s">
        <v>199</v>
      </c>
      <c r="I6" s="205" t="s">
        <v>67</v>
      </c>
      <c r="J6" s="207"/>
    </row>
    <row r="7" spans="1:10" x14ac:dyDescent="0.25">
      <c r="A7" s="31">
        <v>3</v>
      </c>
      <c r="B7" s="104" t="s">
        <v>33</v>
      </c>
      <c r="C7" s="204" t="s">
        <v>44</v>
      </c>
      <c r="D7" s="204" t="s">
        <v>128</v>
      </c>
      <c r="E7" s="204" t="s">
        <v>58</v>
      </c>
      <c r="F7" s="204" t="s">
        <v>887</v>
      </c>
      <c r="G7" s="204" t="s">
        <v>205</v>
      </c>
      <c r="H7" s="204" t="s">
        <v>178</v>
      </c>
      <c r="I7" s="205" t="s">
        <v>892</v>
      </c>
      <c r="J7" s="207"/>
    </row>
    <row r="8" spans="1:10" x14ac:dyDescent="0.25">
      <c r="A8" s="31">
        <v>4</v>
      </c>
      <c r="B8" s="104" t="s">
        <v>28</v>
      </c>
      <c r="C8" s="204" t="s">
        <v>42</v>
      </c>
      <c r="D8" s="204" t="s">
        <v>100</v>
      </c>
      <c r="E8" s="204" t="s">
        <v>874</v>
      </c>
      <c r="F8" s="204" t="s">
        <v>886</v>
      </c>
      <c r="G8" s="204" t="s">
        <v>177</v>
      </c>
      <c r="H8" s="204" t="s">
        <v>150</v>
      </c>
      <c r="I8" s="205" t="s">
        <v>891</v>
      </c>
      <c r="J8" s="207"/>
    </row>
    <row r="9" spans="1:10" x14ac:dyDescent="0.25">
      <c r="A9" s="31">
        <v>5</v>
      </c>
      <c r="B9" s="104" t="s">
        <v>867</v>
      </c>
      <c r="C9" s="204" t="s">
        <v>39</v>
      </c>
      <c r="D9" s="204" t="s">
        <v>72</v>
      </c>
      <c r="E9" s="204" t="s">
        <v>881</v>
      </c>
      <c r="F9" s="204" t="s">
        <v>191</v>
      </c>
      <c r="G9" s="204" t="s">
        <v>149</v>
      </c>
      <c r="H9" s="204" t="s">
        <v>116</v>
      </c>
      <c r="I9" s="205" t="s">
        <v>164</v>
      </c>
      <c r="J9" s="207"/>
    </row>
    <row r="10" spans="1:10" x14ac:dyDescent="0.25">
      <c r="A10" s="31">
        <v>6</v>
      </c>
      <c r="B10" s="104" t="s">
        <v>896</v>
      </c>
      <c r="C10" s="204" t="s">
        <v>35</v>
      </c>
      <c r="D10" s="204" t="s">
        <v>872</v>
      </c>
      <c r="E10" s="204" t="s">
        <v>879</v>
      </c>
      <c r="F10" s="204" t="s">
        <v>163</v>
      </c>
      <c r="G10" s="204" t="s">
        <v>129</v>
      </c>
      <c r="H10" s="204" t="s">
        <v>81</v>
      </c>
      <c r="I10" s="205" t="s">
        <v>130</v>
      </c>
      <c r="J10" s="207"/>
    </row>
    <row r="11" spans="1:10" x14ac:dyDescent="0.25">
      <c r="A11" s="31">
        <v>7</v>
      </c>
      <c r="B11" s="104" t="s">
        <v>36</v>
      </c>
      <c r="C11" s="204" t="s">
        <v>30</v>
      </c>
      <c r="D11" s="204" t="s">
        <v>871</v>
      </c>
      <c r="E11" s="204" t="s">
        <v>190</v>
      </c>
      <c r="F11" s="204" t="s">
        <v>136</v>
      </c>
      <c r="G11" s="204" t="s">
        <v>108</v>
      </c>
      <c r="H11" s="204" t="s">
        <v>890</v>
      </c>
      <c r="I11" s="204" t="s">
        <v>95</v>
      </c>
      <c r="J11" s="203"/>
    </row>
    <row r="12" spans="1:10" x14ac:dyDescent="0.25">
      <c r="A12" s="89">
        <v>8</v>
      </c>
      <c r="B12" s="104" t="s">
        <v>32</v>
      </c>
      <c r="C12" s="208" t="s">
        <v>24</v>
      </c>
      <c r="D12" s="208" t="s">
        <v>870</v>
      </c>
      <c r="E12" s="204" t="s">
        <v>169</v>
      </c>
      <c r="F12" s="204" t="s">
        <v>115</v>
      </c>
      <c r="G12" s="204" t="s">
        <v>87</v>
      </c>
      <c r="H12" s="204" t="s">
        <v>889</v>
      </c>
      <c r="I12" s="204" t="s">
        <v>60</v>
      </c>
      <c r="J12" s="203"/>
    </row>
    <row r="13" spans="1:10" x14ac:dyDescent="0.25">
      <c r="A13" s="89">
        <v>9</v>
      </c>
      <c r="B13" s="104" t="s">
        <v>27</v>
      </c>
      <c r="C13" s="208" t="s">
        <v>868</v>
      </c>
      <c r="D13" s="208" t="s">
        <v>204</v>
      </c>
      <c r="E13" s="204" t="s">
        <v>148</v>
      </c>
      <c r="F13" s="204" t="s">
        <v>94</v>
      </c>
      <c r="G13" s="204" t="s">
        <v>59</v>
      </c>
      <c r="H13" s="204" t="s">
        <v>888</v>
      </c>
      <c r="I13" s="204" t="s">
        <v>894</v>
      </c>
      <c r="J13" s="203"/>
    </row>
    <row r="14" spans="1:10" ht="13.8" x14ac:dyDescent="0.25">
      <c r="A14" s="89">
        <v>10</v>
      </c>
      <c r="B14" s="104" t="s">
        <v>865</v>
      </c>
      <c r="C14" s="208" t="s">
        <v>43</v>
      </c>
      <c r="D14" s="208" t="s">
        <v>183</v>
      </c>
      <c r="E14" s="109" t="s">
        <v>121</v>
      </c>
      <c r="F14" s="109" t="s">
        <v>73</v>
      </c>
      <c r="G14" s="109" t="s">
        <v>885</v>
      </c>
      <c r="H14" s="109" t="s">
        <v>206</v>
      </c>
      <c r="I14" s="109" t="s">
        <v>893</v>
      </c>
      <c r="J14" s="107"/>
    </row>
    <row r="15" spans="1:10" ht="13.8" x14ac:dyDescent="0.25">
      <c r="A15" s="89">
        <v>11</v>
      </c>
      <c r="B15" s="104" t="s">
        <v>866</v>
      </c>
      <c r="C15" s="208" t="s">
        <v>41</v>
      </c>
      <c r="D15" s="208" t="s">
        <v>162</v>
      </c>
      <c r="E15" s="109" t="s">
        <v>93</v>
      </c>
      <c r="F15" s="109" t="s">
        <v>882</v>
      </c>
      <c r="G15" s="109" t="s">
        <v>884</v>
      </c>
      <c r="H15" s="109" t="s">
        <v>192</v>
      </c>
      <c r="I15" s="109" t="s">
        <v>185</v>
      </c>
      <c r="J15" s="107"/>
    </row>
    <row r="16" spans="1:10" ht="13.8" x14ac:dyDescent="0.25">
      <c r="A16" s="89">
        <v>12</v>
      </c>
      <c r="B16" s="104" t="s">
        <v>31</v>
      </c>
      <c r="C16" s="208" t="s">
        <v>38</v>
      </c>
      <c r="D16" s="208" t="s">
        <v>135</v>
      </c>
      <c r="E16" s="109" t="s">
        <v>65</v>
      </c>
      <c r="F16" s="109" t="s">
        <v>878</v>
      </c>
      <c r="G16" s="109" t="s">
        <v>198</v>
      </c>
      <c r="H16" s="109" t="s">
        <v>171</v>
      </c>
      <c r="I16" s="109" t="s">
        <v>157</v>
      </c>
      <c r="J16" s="107"/>
    </row>
    <row r="17" spans="1:10" ht="13.8" x14ac:dyDescent="0.25">
      <c r="A17" s="89">
        <v>13</v>
      </c>
      <c r="B17" s="104" t="s">
        <v>26</v>
      </c>
      <c r="C17" s="208" t="s">
        <v>34</v>
      </c>
      <c r="D17" s="208" t="s">
        <v>107</v>
      </c>
      <c r="E17" s="109" t="s">
        <v>876</v>
      </c>
      <c r="F17" s="109" t="s">
        <v>877</v>
      </c>
      <c r="G17" s="109" t="s">
        <v>170</v>
      </c>
      <c r="H17" s="109" t="s">
        <v>144</v>
      </c>
      <c r="I17" s="109" t="s">
        <v>123</v>
      </c>
      <c r="J17" s="107"/>
    </row>
    <row r="18" spans="1:10" ht="13.8" x14ac:dyDescent="0.25">
      <c r="A18" s="89">
        <v>14</v>
      </c>
      <c r="B18" s="104" t="s">
        <v>863</v>
      </c>
      <c r="C18" s="208" t="s">
        <v>29</v>
      </c>
      <c r="D18" s="208" t="s">
        <v>79</v>
      </c>
      <c r="E18" s="109" t="s">
        <v>875</v>
      </c>
      <c r="F18" s="109" t="s">
        <v>184</v>
      </c>
      <c r="G18" s="109" t="s">
        <v>143</v>
      </c>
      <c r="H18" s="109" t="s">
        <v>109</v>
      </c>
      <c r="I18" s="109" t="s">
        <v>88</v>
      </c>
      <c r="J18" s="107"/>
    </row>
    <row r="19" spans="1:10" ht="13.8" x14ac:dyDescent="0.25">
      <c r="A19" s="89">
        <v>15</v>
      </c>
      <c r="B19" s="104" t="s">
        <v>864</v>
      </c>
      <c r="C19" s="208" t="s">
        <v>23</v>
      </c>
      <c r="D19" s="208" t="s">
        <v>51</v>
      </c>
      <c r="E19" s="109" t="s">
        <v>880</v>
      </c>
      <c r="F19" s="109" t="s">
        <v>156</v>
      </c>
      <c r="G19" s="109" t="s">
        <v>122</v>
      </c>
      <c r="H19" s="109" t="s">
        <v>74</v>
      </c>
      <c r="I19" s="109" t="s">
        <v>53</v>
      </c>
      <c r="J19" s="107"/>
    </row>
    <row r="20" spans="1:10" ht="14.4" x14ac:dyDescent="0.25">
      <c r="A20" s="108"/>
      <c r="B20" s="31"/>
      <c r="C20" s="209"/>
      <c r="D20" s="209"/>
      <c r="E20" s="107"/>
      <c r="F20" s="107"/>
      <c r="G20" s="107"/>
      <c r="H20" s="107"/>
      <c r="I20" s="107"/>
      <c r="J20" s="107"/>
    </row>
    <row r="21" spans="1:10" ht="15.6" x14ac:dyDescent="0.25">
      <c r="A21" s="89"/>
      <c r="B21" s="31"/>
      <c r="C21" s="202" t="s">
        <v>935</v>
      </c>
      <c r="D21" s="202"/>
      <c r="E21" s="202"/>
      <c r="F21" s="202"/>
      <c r="G21" s="202"/>
      <c r="H21" s="202"/>
      <c r="I21" s="107"/>
      <c r="J21" s="107"/>
    </row>
    <row r="22" spans="1:10" x14ac:dyDescent="0.25">
      <c r="A22" s="31"/>
      <c r="B22" s="31">
        <v>0</v>
      </c>
      <c r="C22" s="31">
        <v>1</v>
      </c>
      <c r="D22" s="31">
        <v>2</v>
      </c>
      <c r="E22" s="31">
        <v>3</v>
      </c>
      <c r="F22" s="31">
        <v>4</v>
      </c>
      <c r="G22" s="31">
        <v>5</v>
      </c>
      <c r="H22" s="31">
        <v>6</v>
      </c>
      <c r="I22" s="31">
        <v>7</v>
      </c>
      <c r="J22" s="31"/>
    </row>
    <row r="23" spans="1:10" ht="13.8" x14ac:dyDescent="0.25">
      <c r="A23" s="31">
        <v>0</v>
      </c>
      <c r="B23" s="104" t="s">
        <v>193</v>
      </c>
      <c r="C23" s="104" t="s">
        <v>187</v>
      </c>
      <c r="D23" s="104" t="s">
        <v>906</v>
      </c>
      <c r="E23" s="104" t="s">
        <v>907</v>
      </c>
      <c r="F23" s="104" t="s">
        <v>105</v>
      </c>
      <c r="G23" s="104" t="s">
        <v>175</v>
      </c>
      <c r="H23" s="104" t="s">
        <v>161</v>
      </c>
      <c r="I23" s="104" t="s">
        <v>921</v>
      </c>
      <c r="J23" s="107"/>
    </row>
    <row r="24" spans="1:10" ht="13.8" x14ac:dyDescent="0.25">
      <c r="A24" s="31">
        <v>1</v>
      </c>
      <c r="B24" s="104" t="s">
        <v>897</v>
      </c>
      <c r="C24" s="104" t="s">
        <v>208</v>
      </c>
      <c r="D24" s="104" t="s">
        <v>908</v>
      </c>
      <c r="E24" s="104" t="s">
        <v>62</v>
      </c>
      <c r="F24" s="104" t="s">
        <v>126</v>
      </c>
      <c r="G24" s="104" t="s">
        <v>196</v>
      </c>
      <c r="H24" s="104" t="s">
        <v>189</v>
      </c>
      <c r="I24" s="104" t="s">
        <v>922</v>
      </c>
      <c r="J24" s="107"/>
    </row>
    <row r="25" spans="1:10" ht="13.8" x14ac:dyDescent="0.25">
      <c r="A25" s="31">
        <v>2</v>
      </c>
      <c r="B25" s="104" t="s">
        <v>898</v>
      </c>
      <c r="C25" s="104" t="s">
        <v>899</v>
      </c>
      <c r="D25" s="104" t="s">
        <v>909</v>
      </c>
      <c r="E25" s="104" t="s">
        <v>90</v>
      </c>
      <c r="F25" s="104" t="s">
        <v>50</v>
      </c>
      <c r="G25" s="104" t="s">
        <v>210</v>
      </c>
      <c r="H25" s="104" t="s">
        <v>923</v>
      </c>
      <c r="I25" s="104" t="s">
        <v>71</v>
      </c>
      <c r="J25" s="107"/>
    </row>
    <row r="26" spans="1:10" ht="13.8" x14ac:dyDescent="0.25">
      <c r="A26" s="31">
        <v>3</v>
      </c>
      <c r="B26" s="104" t="s">
        <v>89</v>
      </c>
      <c r="C26" s="104" t="s">
        <v>61</v>
      </c>
      <c r="D26" s="104" t="s">
        <v>76</v>
      </c>
      <c r="E26" s="104" t="s">
        <v>118</v>
      </c>
      <c r="F26" s="104" t="s">
        <v>174</v>
      </c>
      <c r="G26" s="104" t="s">
        <v>914</v>
      </c>
      <c r="H26" s="104" t="s">
        <v>924</v>
      </c>
      <c r="I26" s="104" t="s">
        <v>106</v>
      </c>
      <c r="J26" s="107"/>
    </row>
    <row r="27" spans="1:10" ht="13.8" x14ac:dyDescent="0.25">
      <c r="A27" s="31">
        <v>4</v>
      </c>
      <c r="B27" s="104" t="s">
        <v>124</v>
      </c>
      <c r="C27" s="104" t="s">
        <v>103</v>
      </c>
      <c r="D27" s="104" t="s">
        <v>104</v>
      </c>
      <c r="E27" s="104" t="s">
        <v>146</v>
      </c>
      <c r="F27" s="104" t="s">
        <v>202</v>
      </c>
      <c r="G27" s="104" t="s">
        <v>915</v>
      </c>
      <c r="H27" s="104" t="s">
        <v>925</v>
      </c>
      <c r="I27" s="104" t="s">
        <v>141</v>
      </c>
      <c r="J27" s="107"/>
    </row>
    <row r="28" spans="1:10" ht="13.8" x14ac:dyDescent="0.25">
      <c r="A28" s="31">
        <v>5</v>
      </c>
      <c r="B28" s="104" t="s">
        <v>151</v>
      </c>
      <c r="C28" s="104" t="s">
        <v>138</v>
      </c>
      <c r="D28" s="104" t="s">
        <v>132</v>
      </c>
      <c r="E28" s="104" t="s">
        <v>160</v>
      </c>
      <c r="F28" s="104" t="s">
        <v>916</v>
      </c>
      <c r="G28" s="104" t="s">
        <v>63</v>
      </c>
      <c r="H28" s="104" t="s">
        <v>85</v>
      </c>
      <c r="I28" s="104" t="s">
        <v>926</v>
      </c>
      <c r="J28" s="107"/>
    </row>
    <row r="29" spans="1:10" ht="13.8" x14ac:dyDescent="0.25">
      <c r="A29" s="31">
        <v>6</v>
      </c>
      <c r="B29" s="104" t="s">
        <v>172</v>
      </c>
      <c r="C29" s="104" t="s">
        <v>165</v>
      </c>
      <c r="D29" s="104" t="s">
        <v>159</v>
      </c>
      <c r="E29" s="104" t="s">
        <v>188</v>
      </c>
      <c r="F29" s="104" t="s">
        <v>917</v>
      </c>
      <c r="G29" s="104" t="s">
        <v>91</v>
      </c>
      <c r="H29" s="104" t="s">
        <v>120</v>
      </c>
      <c r="I29" s="104" t="s">
        <v>927</v>
      </c>
      <c r="J29" s="107"/>
    </row>
    <row r="30" spans="1:10" ht="13.8" x14ac:dyDescent="0.25">
      <c r="A30" s="31">
        <v>7</v>
      </c>
      <c r="B30" s="104" t="s">
        <v>900</v>
      </c>
      <c r="C30" s="104" t="s">
        <v>186</v>
      </c>
      <c r="D30" s="104" t="s">
        <v>180</v>
      </c>
      <c r="E30" s="104" t="s">
        <v>936</v>
      </c>
      <c r="F30" s="104" t="s">
        <v>918</v>
      </c>
      <c r="G30" s="104" t="s">
        <v>112</v>
      </c>
      <c r="H30" s="104" t="s">
        <v>154</v>
      </c>
      <c r="I30" s="104" t="s">
        <v>64</v>
      </c>
      <c r="J30" s="107"/>
    </row>
    <row r="31" spans="1:10" x14ac:dyDescent="0.25">
      <c r="A31" s="89">
        <v>8</v>
      </c>
      <c r="B31" s="104" t="s">
        <v>901</v>
      </c>
      <c r="C31" s="110" t="s">
        <v>200</v>
      </c>
      <c r="D31" s="110" t="s">
        <v>201</v>
      </c>
      <c r="E31" s="104" t="s">
        <v>910</v>
      </c>
      <c r="F31" s="104" t="s">
        <v>77</v>
      </c>
      <c r="G31" s="104" t="s">
        <v>133</v>
      </c>
      <c r="H31" s="104" t="s">
        <v>182</v>
      </c>
      <c r="I31" s="104" t="s">
        <v>99</v>
      </c>
      <c r="J31" s="31"/>
    </row>
    <row r="32" spans="1:10" x14ac:dyDescent="0.25">
      <c r="A32" s="89">
        <v>9</v>
      </c>
      <c r="B32" s="104" t="s">
        <v>82</v>
      </c>
      <c r="C32" s="110" t="s">
        <v>207</v>
      </c>
      <c r="D32" s="110" t="s">
        <v>902</v>
      </c>
      <c r="E32" s="104" t="s">
        <v>911</v>
      </c>
      <c r="F32" s="104" t="s">
        <v>98</v>
      </c>
      <c r="G32" s="104" t="s">
        <v>153</v>
      </c>
      <c r="H32" s="104" t="s">
        <v>203</v>
      </c>
      <c r="I32" s="104" t="s">
        <v>134</v>
      </c>
      <c r="J32" s="31"/>
    </row>
    <row r="33" spans="1:10" ht="13.8" x14ac:dyDescent="0.25">
      <c r="A33" s="89">
        <v>10</v>
      </c>
      <c r="B33" s="104" t="s">
        <v>117</v>
      </c>
      <c r="C33" s="110" t="s">
        <v>903</v>
      </c>
      <c r="D33" s="110" t="s">
        <v>68</v>
      </c>
      <c r="E33" s="109" t="s">
        <v>69</v>
      </c>
      <c r="F33" s="109" t="s">
        <v>119</v>
      </c>
      <c r="G33" s="109" t="s">
        <v>181</v>
      </c>
      <c r="H33" s="109" t="s">
        <v>932</v>
      </c>
      <c r="I33" s="109" t="s">
        <v>168</v>
      </c>
      <c r="J33" s="107"/>
    </row>
    <row r="34" spans="1:10" ht="13.8" x14ac:dyDescent="0.25">
      <c r="A34" s="89">
        <v>11</v>
      </c>
      <c r="B34" s="104" t="s">
        <v>145</v>
      </c>
      <c r="C34" s="110" t="s">
        <v>54</v>
      </c>
      <c r="D34" s="110" t="s">
        <v>55</v>
      </c>
      <c r="E34" s="109" t="s">
        <v>97</v>
      </c>
      <c r="F34" s="109" t="s">
        <v>140</v>
      </c>
      <c r="G34" s="109" t="s">
        <v>209</v>
      </c>
      <c r="H34" s="109" t="s">
        <v>933</v>
      </c>
      <c r="I34" s="109" t="s">
        <v>928</v>
      </c>
      <c r="J34" s="107"/>
    </row>
    <row r="35" spans="1:10" ht="13.8" x14ac:dyDescent="0.25">
      <c r="A35" s="89">
        <v>12</v>
      </c>
      <c r="B35" s="104" t="s">
        <v>904</v>
      </c>
      <c r="C35" s="110" t="s">
        <v>96</v>
      </c>
      <c r="D35" s="110" t="s">
        <v>83</v>
      </c>
      <c r="E35" s="109" t="s">
        <v>125</v>
      </c>
      <c r="F35" s="109" t="s">
        <v>167</v>
      </c>
      <c r="G35" s="109" t="s">
        <v>919</v>
      </c>
      <c r="H35" s="109" t="s">
        <v>70</v>
      </c>
      <c r="I35" s="109" t="s">
        <v>929</v>
      </c>
      <c r="J35" s="107"/>
    </row>
    <row r="36" spans="1:10" ht="13.8" x14ac:dyDescent="0.25">
      <c r="A36" s="89">
        <v>13</v>
      </c>
      <c r="B36" s="104" t="s">
        <v>905</v>
      </c>
      <c r="C36" s="110" t="s">
        <v>131</v>
      </c>
      <c r="D36" s="110" t="s">
        <v>111</v>
      </c>
      <c r="E36" s="109" t="s">
        <v>152</v>
      </c>
      <c r="F36" s="109" t="s">
        <v>195</v>
      </c>
      <c r="G36" s="109" t="s">
        <v>920</v>
      </c>
      <c r="H36" s="109" t="s">
        <v>78</v>
      </c>
      <c r="I36" s="109" t="s">
        <v>57</v>
      </c>
      <c r="J36" s="107"/>
    </row>
    <row r="37" spans="1:10" ht="13.8" x14ac:dyDescent="0.25">
      <c r="A37" s="89">
        <v>14</v>
      </c>
      <c r="B37" s="104" t="s">
        <v>75</v>
      </c>
      <c r="C37" s="110" t="s">
        <v>158</v>
      </c>
      <c r="D37" s="110" t="s">
        <v>139</v>
      </c>
      <c r="E37" s="109" t="s">
        <v>173</v>
      </c>
      <c r="F37" s="109" t="s">
        <v>912</v>
      </c>
      <c r="G37" s="109" t="s">
        <v>56</v>
      </c>
      <c r="H37" s="109" t="s">
        <v>113</v>
      </c>
      <c r="I37" s="109" t="s">
        <v>92</v>
      </c>
      <c r="J37" s="107"/>
    </row>
    <row r="38" spans="1:10" ht="13.8" x14ac:dyDescent="0.25">
      <c r="A38" s="89">
        <v>15</v>
      </c>
      <c r="B38" s="104" t="s">
        <v>110</v>
      </c>
      <c r="C38" s="110" t="s">
        <v>179</v>
      </c>
      <c r="D38" s="110" t="s">
        <v>166</v>
      </c>
      <c r="E38" s="109" t="s">
        <v>194</v>
      </c>
      <c r="F38" s="109" t="s">
        <v>913</v>
      </c>
      <c r="G38" s="109" t="s">
        <v>84</v>
      </c>
      <c r="H38" s="109" t="s">
        <v>147</v>
      </c>
      <c r="I38" s="109" t="s">
        <v>127</v>
      </c>
      <c r="J38" s="107"/>
    </row>
    <row r="39" spans="1:10" ht="13.8" x14ac:dyDescent="0.25">
      <c r="A39" s="89"/>
      <c r="B39" s="31"/>
      <c r="C39" s="105"/>
      <c r="D39" s="105"/>
      <c r="E39" s="107"/>
      <c r="F39" s="107"/>
      <c r="G39" s="107"/>
      <c r="H39" s="107"/>
      <c r="I39" s="107"/>
      <c r="J39" s="107"/>
    </row>
  </sheetData>
  <mergeCells count="2">
    <mergeCell ref="C2:H2"/>
    <mergeCell ref="C21:H2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af89de7-e90f-4498-b82f-cfd824fdf69f">
      <Terms xmlns="http://schemas.microsoft.com/office/infopath/2007/PartnerControls"/>
    </lcf76f155ced4ddcb4097134ff3c332f>
    <TaxCatchAll xmlns="ca9fea46-22b1-4d83-8e0c-df112a487b05"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DF26BEDCB525843B5B5DC10EBB5612F" ma:contentTypeVersion="15" ma:contentTypeDescription="Create a new document." ma:contentTypeScope="" ma:versionID="c54dcdaf50cb4e3608dd84bba36ae792">
  <xsd:schema xmlns:xsd="http://www.w3.org/2001/XMLSchema" xmlns:xs="http://www.w3.org/2001/XMLSchema" xmlns:p="http://schemas.microsoft.com/office/2006/metadata/properties" xmlns:ns2="aaf89de7-e90f-4498-b82f-cfd824fdf69f" xmlns:ns3="ca9fea46-22b1-4d83-8e0c-df112a487b05" targetNamespace="http://schemas.microsoft.com/office/2006/metadata/properties" ma:root="true" ma:fieldsID="f0916a477dfa4609efc37dfd061c114d" ns2:_="" ns3:_="">
    <xsd:import namespace="aaf89de7-e90f-4498-b82f-cfd824fdf69f"/>
    <xsd:import namespace="ca9fea46-22b1-4d83-8e0c-df112a487b0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LengthInSeconds"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f89de7-e90f-4498-b82f-cfd824fdf69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LengthInSeconds" ma:index="13"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bc0e6601-6f2a-4fd5-a0ba-0399ad748384"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ca9fea46-22b1-4d83-8e0c-df112a487b05"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4817ca8c-5c16-4f59-a17c-1df5a70b6d5b}" ma:internalName="TaxCatchAll" ma:showField="CatchAllData" ma:web="ca9fea46-22b1-4d83-8e0c-df112a487b0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C1EBC0D-C72B-4090-AD15-C245215AD59D}">
  <ds:schemaRefs>
    <ds:schemaRef ds:uri="http://schemas.microsoft.com/office/infopath/2007/PartnerControls"/>
    <ds:schemaRef ds:uri="http://purl.org/dc/elements/1.1/"/>
    <ds:schemaRef ds:uri="http://purl.org/dc/dcmitype/"/>
    <ds:schemaRef ds:uri="http://schemas.microsoft.com/office/2006/documentManagement/types"/>
    <ds:schemaRef ds:uri="http://schemas.openxmlformats.org/package/2006/metadata/core-properties"/>
    <ds:schemaRef ds:uri="http://www.w3.org/XML/1998/namespace"/>
    <ds:schemaRef ds:uri="http://purl.org/dc/terms/"/>
    <ds:schemaRef ds:uri="1cae25e0-c275-4205-a8d6-3c424cf1b758"/>
    <ds:schemaRef ds:uri="4c100dba-fa36-4aa9-828e-146f67642bfd"/>
    <ds:schemaRef ds:uri="http://schemas.microsoft.com/office/2006/metadata/properties"/>
    <ds:schemaRef ds:uri="aaf89de7-e90f-4498-b82f-cfd824fdf69f"/>
    <ds:schemaRef ds:uri="ca9fea46-22b1-4d83-8e0c-df112a487b05"/>
  </ds:schemaRefs>
</ds:datastoreItem>
</file>

<file path=customXml/itemProps2.xml><?xml version="1.0" encoding="utf-8"?>
<ds:datastoreItem xmlns:ds="http://schemas.openxmlformats.org/officeDocument/2006/customXml" ds:itemID="{B6ACD1A5-8F9A-4C21-9C48-20468C41E311}">
  <ds:schemaRefs>
    <ds:schemaRef ds:uri="http://schemas.microsoft.com/sharepoint/v3/contenttype/forms"/>
  </ds:schemaRefs>
</ds:datastoreItem>
</file>

<file path=customXml/itemProps3.xml><?xml version="1.0" encoding="utf-8"?>
<ds:datastoreItem xmlns:ds="http://schemas.openxmlformats.org/officeDocument/2006/customXml" ds:itemID="{DE318493-1CC5-4C08-A458-61E23D0BB0E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f89de7-e90f-4498-b82f-cfd824fdf69f"/>
    <ds:schemaRef ds:uri="ca9fea46-22b1-4d83-8e0c-df112a487b0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Impedance Values from Automated</vt:lpstr>
      <vt:lpstr>Array Map with Automated Tester</vt:lpstr>
      <vt:lpstr>Cerebus Mapping</vt:lpstr>
      <vt:lpstr>Blackrock to Array Contacts</vt:lpstr>
      <vt:lpstr>Blackrock to System Channels</vt:lpstr>
      <vt:lpstr>arraycols</vt:lpstr>
      <vt:lpstr>arraylabel</vt:lpstr>
      <vt:lpstr>arrayrows</vt:lpstr>
      <vt:lpstr>arrayspace</vt:lpstr>
    </vt:vector>
  </TitlesOfParts>
  <Company>BionicTechnologies,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 Sessions</dc:creator>
  <cp:lastModifiedBy>Elisabeth Gadzic</cp:lastModifiedBy>
  <cp:lastPrinted>2025-08-20T21:06:54Z</cp:lastPrinted>
  <dcterms:created xsi:type="dcterms:W3CDTF">2001-09-13T21:34:09Z</dcterms:created>
  <dcterms:modified xsi:type="dcterms:W3CDTF">2025-08-20T21:16:39Z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0x0101001DF26BEDCB525843B5B5DC10EBB5612F</vt:lpwstr>
  </property>
  <property fmtid="{D5CDD505-2E9C-101B-9397-08002B2CF9AE}" pid="3" name="MediaServiceImageTags">
    <vt:lpwstr/>
  </property>
  <property fmtid="{D5CDD505-2E9C-101B-9397-08002B2CF9AE}" pid="4" name="MC_NextReviewDate">
    <vt:lpwstr/>
  </property>
  <property fmtid="{D5CDD505-2E9C-101B-9397-08002B2CF9AE}" pid="5" name="MC_Number">
    <vt:lpwstr>BLK-DT-0867</vt:lpwstr>
  </property>
  <property fmtid="{D5CDD505-2E9C-101B-9397-08002B2CF9AE}" pid="6" name="MC_Owner">
    <vt:lpwstr>BLK-Doc Admin</vt:lpwstr>
  </property>
  <property fmtid="{D5CDD505-2E9C-101B-9397-08002B2CF9AE}" pid="7" name="MC_Title">
    <vt:lpwstr>CerePort 256 ch Array Assembly Impedance Data</vt:lpwstr>
  </property>
  <property fmtid="{D5CDD505-2E9C-101B-9397-08002B2CF9AE}" pid="8" name="MC_EffectiveDate">
    <vt:lpwstr>21 Aug 2024</vt:lpwstr>
  </property>
  <property fmtid="{D5CDD505-2E9C-101B-9397-08002B2CF9AE}" pid="9" name="MC_ReleaseDate">
    <vt:lpwstr>21 Aug 2024</vt:lpwstr>
  </property>
  <property fmtid="{D5CDD505-2E9C-101B-9397-08002B2CF9AE}" pid="10" name="MC_Vault">
    <vt:lpwstr>BLK-Docs-Unpublished-Release</vt:lpwstr>
  </property>
  <property fmtid="{D5CDD505-2E9C-101B-9397-08002B2CF9AE}" pid="11" name="MC_Notes">
    <vt:lpwstr/>
  </property>
  <property fmtid="{D5CDD505-2E9C-101B-9397-08002B2CF9AE}" pid="12" name="MC_Revision">
    <vt:lpwstr>02</vt:lpwstr>
  </property>
  <property fmtid="{D5CDD505-2E9C-101B-9397-08002B2CF9AE}" pid="13" name="MC_Author">
    <vt:lpwstr>VNGO</vt:lpwstr>
  </property>
  <property fmtid="{D5CDD505-2E9C-101B-9397-08002B2CF9AE}" pid="14" name="MC_CreatedDate">
    <vt:lpwstr>28 Jun 2024</vt:lpwstr>
  </property>
  <property fmtid="{D5CDD505-2E9C-101B-9397-08002B2CF9AE}" pid="15" name="MC_ExpirationDate">
    <vt:lpwstr/>
  </property>
  <property fmtid="{D5CDD505-2E9C-101B-9397-08002B2CF9AE}" pid="16" name="MC_Status">
    <vt:lpwstr>Release</vt:lpwstr>
  </property>
</Properties>
</file>